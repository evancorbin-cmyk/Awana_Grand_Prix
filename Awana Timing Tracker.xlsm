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vanc\OneDrive\Desktop\Awanas Grand Prix\"/>
    </mc:Choice>
  </mc:AlternateContent>
  <xr:revisionPtr revIDLastSave="0" documentId="13_ncr:1_{858D511A-A2E6-4DA1-B18F-91F1B3EA19E9}" xr6:coauthVersionLast="47" xr6:coauthVersionMax="47" xr10:uidLastSave="{00000000-0000-0000-0000-000000000000}"/>
  <bookViews>
    <workbookView xWindow="-108" yWindow="-108" windowWidth="23256" windowHeight="12456" tabRatio="754" activeTab="2" xr2:uid="{9CE4EDE0-F85D-4FC6-B9EE-3B6D90E36620}"/>
  </bookViews>
  <sheets>
    <sheet name="DASHBOARD" sheetId="8" r:id="rId1"/>
    <sheet name="Sounds" sheetId="9" r:id="rId2"/>
    <sheet name="Setup" sheetId="1" r:id="rId3"/>
    <sheet name="Results" sheetId="6" r:id="rId4"/>
    <sheet name="Data In" sheetId="5" r:id="rId5"/>
    <sheet name="Data Out" sheetId="7" r:id="rId6"/>
    <sheet name="Settings" sheetId="3" r:id="rId7"/>
    <sheet name="Manifest" sheetId="2" r:id="rId8"/>
  </sheets>
  <definedNames>
    <definedName name="_xleta.COUNTIFS" hidden="1" xlm="1">#NAME?</definedName>
    <definedName name="_xleta.T" hidden="1" xlm="1">#NAME?</definedName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6" l="1" a="1"/>
  <c r="E28" i="6" s="1"/>
  <c r="C13" i="6"/>
  <c r="F13" i="6" s="1"/>
  <c r="A6" i="8"/>
  <c r="A1" i="8"/>
  <c r="B1" i="6"/>
  <c r="F1" i="6" s="1"/>
  <c r="C9" i="6"/>
  <c r="D9" i="6" s="1"/>
  <c r="C10" i="6"/>
  <c r="D10" i="6" s="1"/>
  <c r="C11" i="6"/>
  <c r="D11" i="6" s="1"/>
  <c r="C12" i="6"/>
  <c r="D12" i="6" s="1"/>
  <c r="C8" i="6"/>
  <c r="D8" i="6" s="1"/>
  <c r="I5" i="1"/>
  <c r="I14" i="1"/>
  <c r="I2" i="6"/>
  <c r="A4" i="1"/>
  <c r="G4" i="1" s="1"/>
  <c r="A5" i="1"/>
  <c r="F5" i="1" s="1"/>
  <c r="A6" i="1"/>
  <c r="F6" i="1" s="1"/>
  <c r="A7" i="1"/>
  <c r="F7" i="1" s="1"/>
  <c r="A8" i="1"/>
  <c r="F8" i="1" s="1"/>
  <c r="A9" i="1"/>
  <c r="F9" i="1" s="1"/>
  <c r="A10" i="1"/>
  <c r="G10" i="1" s="1"/>
  <c r="A11" i="1"/>
  <c r="G11" i="1" s="1"/>
  <c r="A12" i="1"/>
  <c r="F12" i="1" s="1"/>
  <c r="A13" i="1"/>
  <c r="G13" i="1" s="1"/>
  <c r="A14" i="1"/>
  <c r="F14" i="1" s="1"/>
  <c r="A15" i="1"/>
  <c r="F15" i="1" s="1"/>
  <c r="A16" i="1"/>
  <c r="F16" i="1" s="1"/>
  <c r="A17" i="1"/>
  <c r="F17" i="1" s="1"/>
  <c r="A3" i="1"/>
  <c r="F3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G3" i="6"/>
  <c r="F3" i="6"/>
  <c r="E3" i="6"/>
  <c r="D3" i="6"/>
  <c r="F10" i="1"/>
  <c r="A10" i="6" l="1"/>
  <c r="A13" i="6"/>
  <c r="A12" i="6"/>
  <c r="A11" i="6"/>
  <c r="A9" i="6"/>
  <c r="A8" i="6"/>
  <c r="B12" i="6"/>
  <c r="B8" i="6"/>
  <c r="B11" i="6"/>
  <c r="B10" i="6"/>
  <c r="B9" i="6"/>
  <c r="B13" i="6"/>
  <c r="G13" i="6"/>
  <c r="D13" i="6"/>
  <c r="E13" i="6"/>
  <c r="I17" i="1"/>
  <c r="I13" i="1"/>
  <c r="I11" i="1"/>
  <c r="I9" i="1"/>
  <c r="I6" i="1"/>
  <c r="G1" i="6"/>
  <c r="D1" i="6"/>
  <c r="E1" i="6"/>
  <c r="I12" i="1"/>
  <c r="I4" i="1"/>
  <c r="I3" i="1"/>
  <c r="I10" i="1"/>
  <c r="I16" i="1"/>
  <c r="I8" i="1"/>
  <c r="I15" i="1"/>
  <c r="I7" i="1"/>
  <c r="H5" i="1"/>
  <c r="H4" i="1"/>
  <c r="F11" i="1"/>
  <c r="F13" i="1"/>
  <c r="H3" i="1"/>
  <c r="F4" i="1"/>
  <c r="H12" i="1"/>
  <c r="H10" i="1"/>
  <c r="G12" i="1"/>
  <c r="H11" i="1"/>
  <c r="G3" i="1"/>
  <c r="H17" i="1"/>
  <c r="H9" i="1"/>
  <c r="G17" i="1"/>
  <c r="G9" i="1"/>
  <c r="H16" i="1"/>
  <c r="H8" i="1"/>
  <c r="G16" i="1"/>
  <c r="G8" i="1"/>
  <c r="H15" i="1"/>
  <c r="H7" i="1"/>
  <c r="G15" i="1"/>
  <c r="G7" i="1"/>
  <c r="H14" i="1"/>
  <c r="H6" i="1"/>
  <c r="G14" i="1"/>
  <c r="G6" i="1"/>
  <c r="H13" i="1"/>
  <c r="G5" i="1"/>
  <c r="F11" i="6"/>
  <c r="G11" i="6"/>
  <c r="G9" i="6"/>
  <c r="G10" i="6"/>
  <c r="G8" i="6"/>
  <c r="G12" i="6"/>
  <c r="F9" i="6"/>
  <c r="F8" i="6"/>
  <c r="F10" i="6"/>
  <c r="F12" i="6"/>
  <c r="E11" i="6"/>
  <c r="E8" i="6"/>
  <c r="E9" i="6"/>
  <c r="E10" i="6"/>
  <c r="E12" i="6"/>
  <c r="D4" i="6"/>
  <c r="A1" i="1"/>
  <c r="D27" i="6" l="1"/>
  <c r="C27" i="6"/>
  <c r="A33" i="6" s="1"/>
  <c r="D5" i="6"/>
  <c r="G4" i="6"/>
  <c r="F4" i="6"/>
  <c r="E4" i="6"/>
  <c r="A28" i="6" l="1"/>
  <c r="A29" i="6"/>
  <c r="A30" i="6"/>
  <c r="A32" i="6"/>
  <c r="A31" i="6"/>
  <c r="F5" i="6"/>
  <c r="G5" i="6"/>
  <c r="E5" i="6"/>
  <c r="B4" i="6" l="1"/>
  <c r="C25" i="6"/>
  <c r="D25" i="6" s="1"/>
  <c r="F25" i="6" s="1"/>
  <c r="C10" i="8" s="1"/>
  <c r="D10" i="8" s="1"/>
  <c r="C22" i="6"/>
  <c r="C23" i="6" s="1"/>
  <c r="D22" i="6" l="1"/>
  <c r="F22" i="6" s="1"/>
  <c r="E25" i="6"/>
  <c r="D23" i="6"/>
  <c r="F23" i="6" s="1"/>
  <c r="C24" i="6"/>
  <c r="D24" i="6" s="1"/>
  <c r="F24" i="6" s="1"/>
  <c r="E22" i="6" l="1"/>
  <c r="C7" i="8"/>
  <c r="D7" i="8" s="1"/>
  <c r="C2" i="8"/>
  <c r="C3" i="8"/>
  <c r="C8" i="8"/>
  <c r="D8" i="8" s="1"/>
  <c r="C9" i="8"/>
  <c r="D9" i="8" s="1"/>
  <c r="C4" i="8"/>
  <c r="D6" i="6"/>
  <c r="F6" i="6"/>
  <c r="E24" i="6"/>
  <c r="E6" i="6"/>
  <c r="E23" i="6"/>
  <c r="G6" i="6"/>
  <c r="B10" i="8" l="1"/>
  <c r="B8" i="8"/>
  <c r="B2" i="8"/>
  <c r="D2" i="8" s="1"/>
  <c r="B4" i="8"/>
  <c r="D4" i="8" s="1"/>
  <c r="B9" i="8"/>
  <c r="B7" i="8"/>
  <c r="D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<sst xmlns="http://schemas.openxmlformats.org/spreadsheetml/2006/main" count="218" uniqueCount="126">
  <si>
    <t>Channels</t>
  </si>
  <si>
    <t>Data Source Id</t>
  </si>
  <si>
    <t>Data Interval (ms)</t>
  </si>
  <si>
    <t>Baud Rate</t>
  </si>
  <si>
    <t>Arduino Uno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</si>
  <si>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</si>
  <si>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</si>
  <si>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</si>
  <si>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</si>
  <si>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</si>
  <si>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</si>
  <si>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</si>
  <si>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</si>
  <si>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</si>
  <si>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</si>
  <si>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</si>
  <si>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</si>
  <si>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</si>
  <si>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</si>
  <si>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</si>
  <si>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</si>
  <si>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In (From Arduino Uno (COM4))</t>
  </si>
  <si>
    <t>Data coming from the current data source will appear below as it is received.</t>
  </si>
  <si>
    <t>Current Data</t>
  </si>
  <si>
    <t>TIME</t>
  </si>
  <si>
    <t>Historical Data</t>
  </si>
  <si>
    <t>Switch closed. Timers reset.</t>
  </si>
  <si>
    <t>Car Number</t>
  </si>
  <si>
    <t>First Name</t>
  </si>
  <si>
    <t>Last Name</t>
  </si>
  <si>
    <t>Category</t>
  </si>
  <si>
    <t>Heat</t>
  </si>
  <si>
    <t>Car</t>
  </si>
  <si>
    <t>Armstrong</t>
  </si>
  <si>
    <t>Lance</t>
  </si>
  <si>
    <t>Neil</t>
  </si>
  <si>
    <t>Louis</t>
  </si>
  <si>
    <t>Collins</t>
  </si>
  <si>
    <t>Michael</t>
  </si>
  <si>
    <t>Phil</t>
  </si>
  <si>
    <t>Buzz</t>
  </si>
  <si>
    <t>Aldrin</t>
  </si>
  <si>
    <t>Lightyear</t>
  </si>
  <si>
    <t>Cubbies</t>
  </si>
  <si>
    <t>Sparks</t>
  </si>
  <si>
    <t>Group B</t>
  </si>
  <si>
    <t>Lane 1</t>
  </si>
  <si>
    <t>Lane 2</t>
  </si>
  <si>
    <t>Lane 3</t>
  </si>
  <si>
    <t>Lane 4</t>
  </si>
  <si>
    <t>Corbin</t>
  </si>
  <si>
    <t>Evan</t>
  </si>
  <si>
    <t>Katie</t>
  </si>
  <si>
    <t>Trump</t>
  </si>
  <si>
    <t>Donald</t>
  </si>
  <si>
    <t>Duck</t>
  </si>
  <si>
    <t>Musk</t>
  </si>
  <si>
    <t>Elon</t>
  </si>
  <si>
    <t>Yeager</t>
  </si>
  <si>
    <t>Chuck</t>
  </si>
  <si>
    <t>Grissom</t>
  </si>
  <si>
    <t>Guss</t>
  </si>
  <si>
    <t>Arnold</t>
  </si>
  <si>
    <t>Schwarzenegger</t>
  </si>
  <si>
    <t>nHeats</t>
  </si>
  <si>
    <t>Lane1</t>
  </si>
  <si>
    <t>Lane2</t>
  </si>
  <si>
    <t>Lane3</t>
  </si>
  <si>
    <t>Lane4</t>
  </si>
  <si>
    <t>Time</t>
  </si>
  <si>
    <t>Speed (mph)</t>
  </si>
  <si>
    <t>Time (sec)</t>
  </si>
  <si>
    <t>Newest first</t>
  </si>
  <si>
    <t>Car Number---&gt;</t>
  </si>
  <si>
    <t>nRaces</t>
  </si>
  <si>
    <t>Avg</t>
  </si>
  <si>
    <t>Serial Data: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</si>
  <si>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</si>
  <si>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</si>
  <si>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</si>
  <si>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</si>
  <si>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</si>
  <si>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</si>
  <si>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</si>
  <si>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</si>
  <si>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</si>
  <si>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Data Out (To Device)</t>
  </si>
  <si>
    <t>Data entered into the channels below will be sent to the currently connected device as a comma-delimited string.</t>
  </si>
  <si>
    <t>Next Heat</t>
  </si>
  <si>
    <t>Place</t>
  </si>
  <si>
    <t>1ST PLACE</t>
  </si>
  <si>
    <t>2ND PLACE</t>
  </si>
  <si>
    <t>3RD PLACE</t>
  </si>
  <si>
    <t>4TH PLACE</t>
  </si>
  <si>
    <t>Mario Kart Opening Music</t>
  </si>
  <si>
    <t>Track Music</t>
  </si>
  <si>
    <t>Finish Line Sound</t>
  </si>
  <si>
    <t>Here we go</t>
  </si>
  <si>
    <t>DK Laugh</t>
  </si>
  <si>
    <t>SPEED</t>
  </si>
  <si>
    <t>HEATS</t>
  </si>
  <si>
    <t xml:space="preserve"> </t>
  </si>
  <si>
    <t>Race Started</t>
  </si>
  <si>
    <t>Race Finished</t>
  </si>
  <si>
    <t>String</t>
  </si>
  <si>
    <t>111110</t>
  </si>
  <si>
    <t>011101</t>
  </si>
  <si>
    <t>Race Reset</t>
  </si>
  <si>
    <t>001100</t>
  </si>
  <si>
    <t>100100</t>
  </si>
  <si>
    <t>1st Car Finish</t>
  </si>
  <si>
    <t>2nd Car Finish</t>
  </si>
  <si>
    <t>110000</t>
  </si>
  <si>
    <t>3rd Car Finish</t>
  </si>
  <si>
    <t>111000</t>
  </si>
  <si>
    <t>Normal</t>
  </si>
  <si>
    <t>Switch Fault</t>
  </si>
  <si>
    <t>yrdy</t>
  </si>
  <si>
    <t>Run CutsceneRecording.py</t>
  </si>
  <si>
    <t>Run FinishLineCutScene.py</t>
  </si>
  <si>
    <t>E41F46CF-93D3-4F3A-9C3A-E5112A8172E7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</si>
  <si>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E41F46CF-93D3-4F3A-9C3A-E5112A8172E7","IsGenerated":true,"Name":"Arduino Uno","Version":null,"BaudRate":9600}</t>
  </si>
  <si>
    <t>Lane4 Time: 1868</t>
  </si>
  <si>
    <t>Lane3 Time: 2706</t>
  </si>
  <si>
    <t>Lane2 Time: 3439</t>
  </si>
  <si>
    <t>Lane1 Time: 4236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</si>
</sst>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Aptos Narrow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b/>
      <sz val="11"/>
      <color theme="1"/>
      <name val="Aptos Narrow"/>
      <family val="2"/>
      <scheme val="minor"/>
    </font>
    <font>
      <sz val="10"/>
      <color rgb="FF505050"/>
      <name val="Segoe UI"/>
      <family val="2"/>
    </font>
    <font>
      <i/>
      <sz val="24"/>
      <color rgb="FFFFFF00"/>
      <name val="Trebuchet MS"/>
      <family val="2"/>
    </font>
    <font>
      <sz val="11"/>
      <color rgb="FFFFFF00"/>
      <name val="Aptos Narrow"/>
      <family val="2"/>
      <scheme val="minor"/>
    </font>
    <font>
      <i/>
      <sz val="20"/>
      <color rgb="FFFFFF00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2" xfId="0" applyFont="1" applyFill="1" applyBorder="1" applyAlignment="1" applyProtection="1">
      <alignment horizontal="left" vertical="center" indent="1"/>
      <protection locked="0"/>
    </xf>
    <xf numFmtId="0" fontId="9" fillId="8" borderId="0" xfId="0" applyFont="1" applyFill="1" applyAlignment="1">
      <alignment horizontal="center" vertical="center"/>
    </xf>
    <xf numFmtId="164" fontId="13" fillId="9" borderId="3" xfId="0" applyNumberFormat="1" applyFont="1" applyFill="1" applyBorder="1" applyAlignment="1" applyProtection="1">
      <alignment horizontal="left" vertical="center" indent="1"/>
      <protection locked="0"/>
    </xf>
    <xf numFmtId="164" fontId="13" fillId="10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3" xfId="0" quotePrefix="1" applyFont="1" applyFill="1" applyBorder="1" applyAlignment="1" applyProtection="1">
      <alignment horizontal="right" vertical="center" indent="1"/>
      <protection locked="0"/>
    </xf>
    <xf numFmtId="0" fontId="13" fillId="10" borderId="6" xfId="0" quotePrefix="1" applyFont="1" applyFill="1" applyBorder="1" applyAlignment="1" applyProtection="1">
      <alignment horizontal="right" vertical="center" indent="1"/>
      <protection locked="0"/>
    </xf>
    <xf numFmtId="0" fontId="15" fillId="0" borderId="0" xfId="0" applyFont="1"/>
    <xf numFmtId="0" fontId="15" fillId="12" borderId="0" xfId="0" applyFont="1" applyFill="1"/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164" fontId="13" fillId="11" borderId="5" xfId="0" applyNumberFormat="1" applyFont="1" applyFill="1" applyBorder="1" applyAlignment="1" applyProtection="1">
      <alignment horizontal="left" vertical="center" indent="1"/>
      <protection locked="0"/>
    </xf>
    <xf numFmtId="0" fontId="13" fillId="11" borderId="5" xfId="0" quotePrefix="1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right"/>
    </xf>
    <xf numFmtId="0" fontId="0" fillId="17" borderId="0" xfId="0" applyFill="1"/>
    <xf numFmtId="0" fontId="15" fillId="17" borderId="0" xfId="0" applyFont="1" applyFill="1"/>
    <xf numFmtId="0" fontId="0" fillId="0" borderId="0" xfId="0" applyAlignment="1">
      <alignment horizontal="center" vertical="center"/>
    </xf>
    <xf numFmtId="0" fontId="0" fillId="16" borderId="7" xfId="0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13" fillId="19" borderId="17" xfId="0" applyFont="1" applyFill="1" applyBorder="1" applyAlignment="1" applyProtection="1">
      <alignment horizontal="right" vertical="center" indent="1"/>
      <protection locked="0"/>
    </xf>
    <xf numFmtId="0" fontId="0" fillId="16" borderId="0" xfId="0" applyFill="1"/>
    <xf numFmtId="0" fontId="0" fillId="20" borderId="0" xfId="0" applyFill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0" fontId="0" fillId="17" borderId="8" xfId="0" applyFill="1" applyBorder="1"/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/>
    <xf numFmtId="0" fontId="0" fillId="17" borderId="12" xfId="0" applyFill="1" applyBorder="1" applyAlignment="1">
      <alignment horizontal="center"/>
    </xf>
    <xf numFmtId="0" fontId="0" fillId="17" borderId="13" xfId="0" applyFill="1" applyBorder="1"/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2" fontId="0" fillId="17" borderId="12" xfId="0" applyNumberFormat="1" applyFill="1" applyBorder="1" applyAlignment="1">
      <alignment horizontal="center"/>
    </xf>
    <xf numFmtId="0" fontId="10" fillId="6" borderId="19" xfId="0" applyFont="1" applyFill="1" applyBorder="1" applyAlignment="1" applyProtection="1">
      <alignment horizontal="left" vertical="center" indent="1"/>
      <protection locked="0"/>
    </xf>
    <xf numFmtId="0" fontId="5" fillId="6" borderId="20" xfId="0" applyFont="1" applyFill="1" applyBorder="1" applyAlignment="1" applyProtection="1">
      <alignment horizontal="left" vertical="center" indent="1"/>
      <protection locked="0"/>
    </xf>
    <xf numFmtId="0" fontId="10" fillId="6" borderId="21" xfId="0" applyFont="1" applyFill="1" applyBorder="1" applyAlignment="1" applyProtection="1">
      <alignment horizontal="left" vertical="center" indent="1"/>
      <protection locked="0"/>
    </xf>
    <xf numFmtId="0" fontId="5" fillId="6" borderId="22" xfId="0" applyFont="1" applyFill="1" applyBorder="1" applyAlignment="1" applyProtection="1">
      <alignment horizontal="left" vertical="center" indent="1"/>
      <protection locked="0"/>
    </xf>
    <xf numFmtId="0" fontId="5" fillId="6" borderId="23" xfId="0" applyFont="1" applyFill="1" applyBorder="1" applyAlignment="1" applyProtection="1">
      <alignment horizontal="left" vertical="center" indent="1"/>
      <protection locked="0"/>
    </xf>
    <xf numFmtId="0" fontId="5" fillId="6" borderId="24" xfId="0" applyFont="1" applyFill="1" applyBorder="1" applyAlignment="1" applyProtection="1">
      <alignment horizontal="left" vertical="center" indent="1"/>
      <protection locked="0"/>
    </xf>
    <xf numFmtId="0" fontId="5" fillId="6" borderId="26" xfId="0" applyFont="1" applyFill="1" applyBorder="1" applyAlignment="1" applyProtection="1">
      <alignment horizontal="left" vertical="center" indent="1"/>
      <protection locked="0"/>
    </xf>
    <xf numFmtId="0" fontId="10" fillId="6" borderId="25" xfId="0" applyFont="1" applyFill="1" applyBorder="1" applyAlignment="1" applyProtection="1">
      <alignment horizontal="left" vertical="center" indent="1"/>
      <protection locked="0"/>
    </xf>
    <xf numFmtId="0" fontId="13" fillId="9" borderId="3" xfId="0" applyFont="1" applyFill="1" applyBorder="1" applyAlignment="1" applyProtection="1">
      <alignment horizontal="right" vertical="center" indent="1"/>
      <protection locked="0"/>
    </xf>
    <xf numFmtId="0" fontId="13" fillId="10" borderId="6" xfId="0" applyFont="1" applyFill="1" applyBorder="1" applyAlignment="1" applyProtection="1">
      <alignment horizontal="right" vertical="center" indent="1"/>
      <protection locked="0"/>
    </xf>
    <xf numFmtId="0" fontId="13" fillId="11" borderId="5" xfId="0" applyFont="1" applyFill="1" applyBorder="1" applyAlignment="1" applyProtection="1">
      <alignment horizontal="right" vertical="center" indent="1"/>
      <protection locked="0"/>
    </xf>
    <xf numFmtId="0" fontId="17" fillId="21" borderId="0" xfId="0" applyFont="1" applyFill="1" applyAlignment="1">
      <alignment horizontal="left"/>
    </xf>
    <xf numFmtId="0" fontId="17" fillId="21" borderId="0" xfId="0" applyFont="1" applyFill="1" applyAlignment="1">
      <alignment horizontal="center"/>
    </xf>
    <xf numFmtId="0" fontId="18" fillId="21" borderId="0" xfId="0" applyFont="1" applyFill="1"/>
    <xf numFmtId="0" fontId="19" fillId="21" borderId="0" xfId="0" applyFont="1" applyFill="1" applyAlignment="1">
      <alignment horizontal="left"/>
    </xf>
    <xf numFmtId="165" fontId="19" fillId="21" borderId="0" xfId="0" applyNumberFormat="1" applyFont="1" applyFill="1" applyAlignment="1">
      <alignment horizontal="center"/>
    </xf>
    <xf numFmtId="0" fontId="19" fillId="21" borderId="0" xfId="0" applyFont="1" applyFill="1"/>
    <xf numFmtId="0" fontId="17" fillId="21" borderId="0" xfId="0" applyFont="1" applyFill="1" applyAlignment="1">
      <alignment vertical="center"/>
    </xf>
    <xf numFmtId="0" fontId="17" fillId="21" borderId="0" xfId="0" applyFont="1" applyFill="1"/>
    <xf numFmtId="165" fontId="19" fillId="21" borderId="0" xfId="0" applyNumberFormat="1" applyFont="1" applyFill="1"/>
    <xf numFmtId="0" fontId="3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5" fillId="6" borderId="0" xfId="0" applyFont="1" applyFill="1" applyAlignment="1" applyProtection="1">
      <alignment horizontal="left" vertical="center" indent="1"/>
      <protection locked="0"/>
    </xf>
    <xf numFmtId="0" fontId="4" fillId="7" borderId="0" xfId="0" applyFont="1" applyFill="1" applyAlignment="1">
      <alignment horizontal="left" vertical="center" indent="1"/>
    </xf>
    <xf numFmtId="0" fontId="16" fillId="18" borderId="16" xfId="0" applyFont="1" applyFill="1" applyBorder="1" applyAlignment="1">
      <alignment horizontal="center" vertical="center"/>
    </xf>
    <xf numFmtId="0" fontId="16" fillId="18" borderId="18" xfId="0" applyFont="1" applyFill="1" applyBorder="1" applyAlignment="1">
      <alignment horizontal="center" vertical="center"/>
    </xf>
    <xf numFmtId="0" fontId="15" fillId="22" borderId="0" xfId="0" applyFont="1" applyFill="1"/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4" fillId="2" borderId="0" xfId="0" applyFont="1" applyFill="1" applyAlignment="1">
      <alignment horizontal="left" indent="1"/>
    </xf>
    <xf numFmtId="0" fontId="14" fillId="2" borderId="4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EDAA527E-2789-4C4B-A86F-666B45481C5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3/09/relationships/Python" Target="pyth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636494</xdr:colOff>
      <xdr:row>0</xdr:row>
      <xdr:rowOff>80682</xdr:rowOff>
    </xdr:from>
    <xdr:to>
      <xdr:col>7</xdr:col>
      <xdr:colOff>618564</xdr:colOff>
      <xdr:row>0</xdr:row>
      <xdr:rowOff>636494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8A8716-CDB2-C57E-E6AB-29D1A8366736}"/>
            </a:ext>
          </a:extLst>
        </xdr:cNvPr>
        <xdr:cNvSpPr/>
      </xdr:nvSpPr>
      <xdr:spPr>
        <a:xfrm>
          <a:off x="3056965" y="80682"/>
          <a:ext cx="2572870" cy="5558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GENERATE</a:t>
          </a:r>
          <a:r>
            <a:rPr lang="en-US" sz="2400" baseline="0"/>
            <a:t> HEATS</a:t>
          </a:r>
          <a:endParaRPr 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1099522</xdr:colOff>
      <xdr:row>13</xdr:row>
      <xdr:rowOff>121473</xdr:rowOff>
    </xdr:from>
    <xdr:to>
      <xdr:col>5</xdr:col>
      <xdr:colOff>320041</xdr:colOff>
      <xdr:row>16</xdr:row>
      <xdr:rowOff>78890</xdr:rowOff>
    </xdr:to>
    <xdr:sp macro="[0]!Record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3D13A4-4375-F7F2-4088-B534A2A294A6}"/>
            </a:ext>
          </a:extLst>
        </xdr:cNvPr>
        <xdr:cNvSpPr/>
      </xdr:nvSpPr>
      <xdr:spPr>
        <a:xfrm>
          <a:off x="2533875" y="2497120"/>
          <a:ext cx="2151978" cy="4952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</a:t>
          </a:r>
          <a:r>
            <a:rPr lang="en-US" sz="1100" baseline="0"/>
            <a:t>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C35AA09-26BC-A214-5555-3C3676FF4384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99A01D-533D-444C-AE69-75823D33910F}" name="TBL_CUR" displayName="TBL_CUR" ref="A4:K5" totalsRowShown="0" headerRowDxfId="25" dataDxfId="24">
  <autoFilter ref="A4:K5" xr:uid="{0399A01D-533D-444C-AE69-75823D3391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8" xr3:uid="{9C9AD3FE-8C36-422B-8E3D-80B636AD4662}" name="TIME" dataDxfId="23"/>
    <tableColumn id="9" xr3:uid="{0ACEBB4C-16EB-4E10-94BE-6954CAED8792}" name="CH1" dataDxfId="22"/>
    <tableColumn id="1" xr3:uid="{4F65E510-3913-4752-B025-12968D2A51EA}" name="CH2" dataDxfId="21"/>
    <tableColumn id="2" xr3:uid="{7F2DB193-B1E2-4017-BF61-8CFE085F105F}" name="CH3" dataDxfId="20"/>
    <tableColumn id="3" xr3:uid="{BA0CFD7F-45B4-4B10-89AD-FBA6610D3180}" name="CH4" dataDxfId="19"/>
    <tableColumn id="4" xr3:uid="{217F0234-4497-4ECD-B37A-813FEB3B8129}" name="CH5" dataDxfId="18"/>
    <tableColumn id="5" xr3:uid="{ED0FFC33-3433-459B-AA1C-7200D8C27ED4}" name="CH6" dataDxfId="17"/>
    <tableColumn id="6" xr3:uid="{F0CE20DC-DA4D-4AB2-97FF-D78657D6F6AC}" name="CH7" dataDxfId="16"/>
    <tableColumn id="7" xr3:uid="{B062B6C7-3D06-47DB-8951-5B20A80B6831}" name="CH8" dataDxfId="15"/>
    <tableColumn id="10" xr3:uid="{C0CA3323-B59E-474F-87C5-D3C219AB50BD}" name="CH9" dataDxfId="14"/>
    <tableColumn id="11" xr3:uid="{57737791-B75B-42C2-91D1-896C6315CB25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A3DFB3-6AA5-425E-8F51-0507058F3EF0}" name="TBL_HST" displayName="TBL_HST" ref="A7:K13" totalsRowShown="0" headerRowDxfId="12" dataDxfId="11">
  <autoFilter ref="A7:K13" xr:uid="{ABA3DFB3-6AA5-425E-8F51-0507058F3E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8" xr3:uid="{70EC1871-75AF-4E65-A5A7-3E7507FDCA1B}" name="TIME" dataDxfId="10"/>
    <tableColumn id="9" xr3:uid="{5219C1D2-58A1-40B2-9037-B6BF0E3132AF}" name="CH1" dataDxfId="9"/>
    <tableColumn id="1" xr3:uid="{BB601109-FED5-408C-8F16-AC771E774E6B}" name="CH2" dataDxfId="8"/>
    <tableColumn id="2" xr3:uid="{344E58D2-2292-434F-815D-64EC380C82A7}" name="CH3" dataDxfId="7"/>
    <tableColumn id="3" xr3:uid="{E3B951D4-3C9C-424D-99AC-45C2784C2AA5}" name="CH4" dataDxfId="6"/>
    <tableColumn id="4" xr3:uid="{123172A6-6893-4F4A-9513-B68901E9C5EF}" name="CH5" dataDxfId="5"/>
    <tableColumn id="5" xr3:uid="{D05C50B4-CFB9-4F18-96C6-F0E7D39FB4E4}" name="CH6" dataDxfId="4"/>
    <tableColumn id="6" xr3:uid="{F733673D-2428-477F-8D94-EF91E4E868F9}" name="CH7" dataDxfId="3"/>
    <tableColumn id="7" xr3:uid="{5605B533-6D75-4F36-A300-487A91A861FB}" name="CH8" dataDxfId="2"/>
    <tableColumn id="10" xr3:uid="{5059C514-63A1-4B3C-9C1C-60A7C203651F}" name="CH9" dataDxfId="1"/>
    <tableColumn id="11" xr3:uid="{D47D0988-2376-4160-A16A-4EB754BF47D7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81162C-A785-49A1-85C1-2F03A2366D18}">
  <we:reference id="wa200008175" version="1.0.0.0" store="en-US" storeType="OMEX"/>
  <we:alternateReferences>
    <we:reference id="WA200008175" version="1.0.0.0" store="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9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66D0-DF75-4A64-8CEA-2E3BD3BE8B11}">
  <sheetPr codeName="Sheet4">
    <tabColor rgb="FFFFFF00"/>
  </sheetPr>
  <dimension ref="A1:AL54"/>
  <sheetViews>
    <sheetView topLeftCell="B1" workbookViewId="0">
      <selection activeCell="C7" sqref="C7:D10"/>
    </sheetView>
  </sheetViews>
  <sheetFormatPr defaultRowHeight="14.4" x14ac:dyDescent="0.3"/>
  <cols>
    <col min="1" max="1" width="57.88671875" bestFit="1" customWidth="1"/>
    <col min="2" max="2" width="44.77734375" customWidth="1"/>
    <col min="3" max="3" width="15.88671875" customWidth="1"/>
    <col min="4" max="4" width="15.33203125" bestFit="1" customWidth="1"/>
  </cols>
  <sheetData>
    <row r="1" spans="1:38" ht="30.6" x14ac:dyDescent="0.55000000000000004">
      <c r="A1" s="56" t="str">
        <f>UPPER(CONCATENATE(VLOOKUP(Results!B3-1,Setup!K3:P1133,6,FALSE)," OVERALL RESULTS"))</f>
        <v>CUBBIES OVERALL RESULTS</v>
      </c>
      <c r="B1" s="56"/>
      <c r="C1" s="56" t="s">
        <v>24</v>
      </c>
      <c r="D1" s="57" t="s">
        <v>100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ht="25.8" x14ac:dyDescent="0.5">
      <c r="A2" s="59" t="s">
        <v>90</v>
      </c>
      <c r="B2" s="59" t="str">
        <f>UPPER(VLOOKUP(1,Results!$D$22:$E$25,2,FALSE))</f>
        <v>ARMSTRONG, LANCE</v>
      </c>
      <c r="C2" s="59">
        <f>VLOOKUP(1,Results!$B$22:$F$25,5,FALSE)</f>
        <v>2.706</v>
      </c>
      <c r="D2" s="60" t="str">
        <f>CONCATENATE(VLOOKUP(B2,Setup!D3:G1048,4,FALSE),"/4")</f>
        <v>4/4</v>
      </c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</row>
    <row r="3" spans="1:38" ht="25.8" x14ac:dyDescent="0.5">
      <c r="A3" s="59" t="s">
        <v>91</v>
      </c>
      <c r="B3" s="59" t="s">
        <v>117</v>
      </c>
      <c r="C3" s="59">
        <f>VLOOKUP(2,Results!$B$22:$F$25,5,FALSE)</f>
        <v>3.4390000000000001</v>
      </c>
      <c r="D3" s="60" t="e">
        <f>CONCATENATE(VLOOKUP(B3,Setup!D4:G1049,4,FALSE),"/4")</f>
        <v>#N/A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</row>
    <row r="4" spans="1:38" ht="25.8" x14ac:dyDescent="0.5">
      <c r="A4" s="59" t="s">
        <v>92</v>
      </c>
      <c r="B4" s="59" t="str">
        <f>UPPER(VLOOKUP(3,Results!$D$22:$E$25,2,FALSE))</f>
        <v>TRUMP, DONALD</v>
      </c>
      <c r="C4" s="59">
        <f>VLOOKUP(3,Results!$B$22:$F$25,5,FALSE)</f>
        <v>4.2359999999999998</v>
      </c>
      <c r="D4" s="60" t="str">
        <f>CONCATENATE(VLOOKUP(B4,Setup!D5:G1050,4,FALSE),"/4")</f>
        <v>4/4</v>
      </c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</row>
    <row r="5" spans="1:38" ht="79.2" customHeight="1" x14ac:dyDescent="0.5">
      <c r="A5" s="61"/>
      <c r="B5" s="61"/>
      <c r="C5" s="61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</row>
    <row r="6" spans="1:38" ht="30.6" x14ac:dyDescent="0.55000000000000004">
      <c r="A6" s="62" t="str">
        <f>CONCATENATE("HEAT ",Results!B3-1," RESULTS")</f>
        <v>HEAT 1 RESULTS</v>
      </c>
      <c r="B6" s="62" t="s">
        <v>101</v>
      </c>
      <c r="C6" s="56" t="s">
        <v>24</v>
      </c>
      <c r="D6" s="63" t="s">
        <v>99</v>
      </c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</row>
    <row r="7" spans="1:38" ht="25.8" x14ac:dyDescent="0.5">
      <c r="A7" s="61" t="s">
        <v>90</v>
      </c>
      <c r="B7" s="61" t="str">
        <f>UPPER(VLOOKUP(1,Results!$D$22:$E$25,2,FALSE))</f>
        <v>ARMSTRONG, LANCE</v>
      </c>
      <c r="C7" s="59">
        <f>VLOOKUP(1,Results!$B$22:$F$25,5,FALSE)</f>
        <v>2.706</v>
      </c>
      <c r="D7" s="64">
        <f>0.25/(C7/3600)</f>
        <v>332.59423503325945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</row>
    <row r="8" spans="1:38" ht="25.8" x14ac:dyDescent="0.5">
      <c r="A8" s="61" t="s">
        <v>91</v>
      </c>
      <c r="B8" s="61" t="str">
        <f>UPPER(VLOOKUP(2,Results!$D$22:$E$25,2,FALSE))</f>
        <v>ARMSTRONG, NEIL</v>
      </c>
      <c r="C8" s="59">
        <f>VLOOKUP(2,Results!$B$22:$F$25,5,FALSE)</f>
        <v>3.4390000000000001</v>
      </c>
      <c r="D8" s="64">
        <f>0.25/(C8/3600)</f>
        <v>261.70398371619655</v>
      </c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</row>
    <row r="9" spans="1:38" ht="25.8" x14ac:dyDescent="0.5">
      <c r="A9" s="61" t="s">
        <v>92</v>
      </c>
      <c r="B9" s="61" t="str">
        <f>UPPER(VLOOKUP(3,Results!$D$22:$E$25,2,FALSE))</f>
        <v>TRUMP, DONALD</v>
      </c>
      <c r="C9" s="59">
        <f>VLOOKUP(3,Results!$B$22:$F$25,5,FALSE)</f>
        <v>4.2359999999999998</v>
      </c>
      <c r="D9" s="64">
        <f>0.25/(C9/3600)</f>
        <v>212.46458923512751</v>
      </c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</row>
    <row r="10" spans="1:38" ht="25.8" x14ac:dyDescent="0.5">
      <c r="A10" s="61" t="s">
        <v>93</v>
      </c>
      <c r="B10" s="61" t="e">
        <f>UPPER(VLOOKUP(4,Results!$D$22:$E$25,2,FALSE))</f>
        <v>#N/A</v>
      </c>
      <c r="C10" s="59">
        <f>VLOOKUP(4,Results!$B$22:$F$25,5,FALSE)</f>
        <v>4.2359999999999998</v>
      </c>
      <c r="D10" s="64">
        <f>0.25/(C10/3600)</f>
        <v>212.46458923512751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</row>
    <row r="11" spans="1:38" x14ac:dyDescent="0.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</row>
    <row r="12" spans="1:38" x14ac:dyDescent="0.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</row>
    <row r="13" spans="1:38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</row>
    <row r="14" spans="1:38" x14ac:dyDescent="0.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</row>
    <row r="15" spans="1:38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</row>
    <row r="16" spans="1:38" x14ac:dyDescent="0.3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</row>
    <row r="17" spans="1:38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</row>
    <row r="18" spans="1:38" x14ac:dyDescent="0.3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</row>
    <row r="19" spans="1:38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</row>
    <row r="20" spans="1:38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</row>
    <row r="21" spans="1:38" x14ac:dyDescent="0.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</row>
    <row r="22" spans="1:38" x14ac:dyDescent="0.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</row>
    <row r="23" spans="1:38" x14ac:dyDescent="0.3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</row>
    <row r="24" spans="1:38" x14ac:dyDescent="0.3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</row>
    <row r="25" spans="1:38" x14ac:dyDescent="0.3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</row>
    <row r="26" spans="1:38" x14ac:dyDescent="0.3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</row>
    <row r="27" spans="1:38" x14ac:dyDescent="0.3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</row>
    <row r="28" spans="1:38" x14ac:dyDescent="0.3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</row>
    <row r="29" spans="1:38" x14ac:dyDescent="0.3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</row>
    <row r="30" spans="1:38" x14ac:dyDescent="0.3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</row>
    <row r="31" spans="1:38" x14ac:dyDescent="0.3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</row>
    <row r="32" spans="1:38" x14ac:dyDescent="0.3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</row>
    <row r="33" spans="1:38" x14ac:dyDescent="0.3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</row>
    <row r="34" spans="1:38" x14ac:dyDescent="0.3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</row>
    <row r="35" spans="1:38" x14ac:dyDescent="0.3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</row>
    <row r="36" spans="1:38" x14ac:dyDescent="0.3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</row>
    <row r="37" spans="1:38" x14ac:dyDescent="0.3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</row>
    <row r="38" spans="1:38" x14ac:dyDescent="0.3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</row>
    <row r="39" spans="1:38" x14ac:dyDescent="0.3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</row>
    <row r="40" spans="1:38" x14ac:dyDescent="0.3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</row>
    <row r="41" spans="1:38" x14ac:dyDescent="0.3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</row>
    <row r="42" spans="1:38" x14ac:dyDescent="0.3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</row>
    <row r="43" spans="1:38" x14ac:dyDescent="0.3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</row>
    <row r="44" spans="1:38" x14ac:dyDescent="0.3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</row>
    <row r="45" spans="1:38" x14ac:dyDescent="0.3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</row>
    <row r="46" spans="1:38" x14ac:dyDescent="0.3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</row>
    <row r="47" spans="1:38" x14ac:dyDescent="0.3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</row>
    <row r="48" spans="1:38" x14ac:dyDescent="0.3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</row>
    <row r="49" spans="1:38" x14ac:dyDescent="0.3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</row>
    <row r="50" spans="1:38" x14ac:dyDescent="0.3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</row>
    <row r="51" spans="1:38" x14ac:dyDescent="0.3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</row>
    <row r="52" spans="1:38" x14ac:dyDescent="0.3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</row>
    <row r="53" spans="1:38" x14ac:dyDescent="0.3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</row>
    <row r="54" spans="1:38" x14ac:dyDescent="0.3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B1AC-8B5B-4DF1-90A4-A6E325BE1E4D}">
  <sheetPr codeName="Sheet8">
    <tabColor rgb="FFFFFF00"/>
  </sheetPr>
  <dimension ref="B2:H5"/>
  <sheetViews>
    <sheetView workbookViewId="0">
      <selection activeCell="E10" sqref="E10"/>
    </sheetView>
  </sheetViews>
  <sheetFormatPr defaultRowHeight="14.4" x14ac:dyDescent="0.3"/>
  <cols>
    <col min="2" max="2" width="21.5546875" bestFit="1" customWidth="1"/>
  </cols>
  <sheetData>
    <row r="2" spans="2:8" x14ac:dyDescent="0.3">
      <c r="B2" t="s">
        <v>94</v>
      </c>
      <c r="H2" t="s">
        <v>97</v>
      </c>
    </row>
    <row r="3" spans="2:8" x14ac:dyDescent="0.3">
      <c r="H3" t="s">
        <v>98</v>
      </c>
    </row>
    <row r="4" spans="2:8" x14ac:dyDescent="0.3">
      <c r="B4" t="s">
        <v>96</v>
      </c>
    </row>
    <row r="5" spans="2:8" x14ac:dyDescent="0.3">
      <c r="B5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64FCA-6660-4CDE-80B3-EE75BB1B4961}">
  <sheetPr codeName="Sheet1">
    <tabColor rgb="FFFFFF00"/>
  </sheetPr>
  <dimension ref="A1:Q22"/>
  <sheetViews>
    <sheetView tabSelected="1" zoomScale="85" zoomScaleNormal="85" workbookViewId="0">
      <selection activeCell="D17" sqref="D17"/>
    </sheetView>
  </sheetViews>
  <sheetFormatPr defaultRowHeight="14.4" x14ac:dyDescent="0.3"/>
  <cols>
    <col min="1" max="1" width="10.77734375" bestFit="1" customWidth="1"/>
    <col min="2" max="2" width="9.77734375" bestFit="1" customWidth="1"/>
    <col min="3" max="3" width="14.77734375" bestFit="1" customWidth="1"/>
    <col min="4" max="4" width="15.77734375" bestFit="1" customWidth="1"/>
    <col min="5" max="5" width="8.109375" bestFit="1" customWidth="1"/>
    <col min="6" max="6" width="6.88671875" bestFit="1" customWidth="1"/>
    <col min="7" max="7" width="6.88671875" customWidth="1"/>
    <col min="8" max="9" width="9.109375" customWidth="1"/>
    <col min="10" max="10" width="3" style="20" customWidth="1"/>
    <col min="16" max="16" width="8.6640625" bestFit="1" customWidth="1"/>
    <col min="17" max="17" width="2.33203125" style="20" customWidth="1"/>
  </cols>
  <sheetData>
    <row r="1" spans="1:16" ht="58.2" customHeight="1" x14ac:dyDescent="0.3">
      <c r="A1" s="30">
        <f>MAX(A3:A1048576)</f>
        <v>15</v>
      </c>
      <c r="B1" s="30"/>
      <c r="C1" s="30"/>
      <c r="D1" s="30"/>
      <c r="E1" s="30"/>
      <c r="F1" s="30"/>
      <c r="G1" s="30"/>
      <c r="H1" s="30"/>
      <c r="I1" s="30"/>
      <c r="J1" s="21"/>
      <c r="K1" s="30"/>
      <c r="L1" s="30"/>
      <c r="M1" s="30"/>
      <c r="N1" s="30"/>
      <c r="O1" s="30"/>
      <c r="P1" s="30"/>
    </row>
    <row r="2" spans="1:16" x14ac:dyDescent="0.3">
      <c r="A2" s="12" t="s">
        <v>27</v>
      </c>
      <c r="B2" s="12" t="s">
        <v>29</v>
      </c>
      <c r="C2" s="12" t="s">
        <v>28</v>
      </c>
      <c r="D2" s="12" t="s">
        <v>7</v>
      </c>
      <c r="E2" s="12" t="s">
        <v>30</v>
      </c>
      <c r="F2" s="12" t="s">
        <v>64</v>
      </c>
      <c r="G2" s="12" t="s">
        <v>74</v>
      </c>
      <c r="H2" s="12" t="s">
        <v>75</v>
      </c>
      <c r="I2" s="12" t="s">
        <v>32</v>
      </c>
      <c r="J2" s="21"/>
      <c r="K2" s="12" t="s">
        <v>31</v>
      </c>
      <c r="L2" s="13" t="s">
        <v>46</v>
      </c>
      <c r="M2" s="14" t="s">
        <v>47</v>
      </c>
      <c r="N2" s="15" t="s">
        <v>48</v>
      </c>
      <c r="O2" s="16" t="s">
        <v>49</v>
      </c>
      <c r="P2" s="12" t="s">
        <v>30</v>
      </c>
    </row>
    <row r="3" spans="1:16" x14ac:dyDescent="0.3">
      <c r="A3">
        <f>ROW()-2</f>
        <v>1</v>
      </c>
      <c r="B3" t="s">
        <v>33</v>
      </c>
      <c r="C3" t="s">
        <v>34</v>
      </c>
      <c r="D3" t="str">
        <f>CONCATENATE(B3,", ",C3)</f>
        <v>Armstrong, Lance</v>
      </c>
      <c r="E3" t="s">
        <v>43</v>
      </c>
      <c r="F3">
        <f t="shared" ref="F3:F17" si="0">COUNTIFS($L$3:$O$221,A3)</f>
        <v>4</v>
      </c>
      <c r="G3">
        <f>COUNTIFS(Results!$J$4:$J$1048576,Setup!A3)</f>
        <v>4</v>
      </c>
      <c r="H3">
        <f>AVERAGEIFS(Results!$K$4:$K$1048576,Results!$J$4:$J$1048576,Setup!A3)</f>
        <v>5.2147500000000004</v>
      </c>
      <c r="I3">
        <f>A3</f>
        <v>1</v>
      </c>
      <c r="K3">
        <v>1</v>
      </c>
      <c r="L3">
        <v>1</v>
      </c>
      <c r="M3">
        <v>2</v>
      </c>
      <c r="N3">
        <v>3</v>
      </c>
      <c r="O3">
        <v>4</v>
      </c>
      <c r="P3" t="s">
        <v>43</v>
      </c>
    </row>
    <row r="4" spans="1:16" x14ac:dyDescent="0.3">
      <c r="A4">
        <f t="shared" ref="A4:A17" si="1">ROW()-2</f>
        <v>2</v>
      </c>
      <c r="B4" t="s">
        <v>33</v>
      </c>
      <c r="C4" t="s">
        <v>35</v>
      </c>
      <c r="D4" t="str">
        <f t="shared" ref="D4:D17" si="2">CONCATENATE(B4,", ",C4)</f>
        <v>Armstrong, Neil</v>
      </c>
      <c r="E4" t="s">
        <v>43</v>
      </c>
      <c r="F4">
        <f t="shared" si="0"/>
        <v>4</v>
      </c>
      <c r="G4">
        <f>COUNTIFS(Results!$J$4:$J$1048576,Setup!A4)</f>
        <v>4</v>
      </c>
      <c r="H4">
        <f>AVERAGEIFS(Results!$K$4:$K$1048576,Results!$J$4:$J$1048576,Setup!A4)+1</f>
        <v>10.863250000000001</v>
      </c>
      <c r="I4">
        <f t="shared" ref="I4:I17" si="3">A4</f>
        <v>2</v>
      </c>
      <c r="K4">
        <v>2</v>
      </c>
      <c r="L4">
        <v>4</v>
      </c>
      <c r="M4">
        <v>1</v>
      </c>
      <c r="N4">
        <v>2</v>
      </c>
      <c r="O4">
        <v>3</v>
      </c>
      <c r="P4" t="s">
        <v>43</v>
      </c>
    </row>
    <row r="5" spans="1:16" x14ac:dyDescent="0.3">
      <c r="A5">
        <f t="shared" si="1"/>
        <v>3</v>
      </c>
      <c r="B5" t="s">
        <v>53</v>
      </c>
      <c r="C5" t="s">
        <v>54</v>
      </c>
      <c r="D5" t="str">
        <f t="shared" si="2"/>
        <v>Trump, Donald</v>
      </c>
      <c r="E5" t="s">
        <v>43</v>
      </c>
      <c r="F5">
        <f t="shared" si="0"/>
        <v>4</v>
      </c>
      <c r="G5">
        <f>COUNTIFS(Results!$J$4:$J$1048576,Setup!A5)</f>
        <v>4</v>
      </c>
      <c r="H5">
        <f>AVERAGEIFS(Results!$K$4:$K$1048576,Results!$J$4:$J$1048576,Setup!A5)+2</f>
        <v>11.103249999999999</v>
      </c>
      <c r="I5">
        <f t="shared" si="3"/>
        <v>3</v>
      </c>
      <c r="K5">
        <v>3</v>
      </c>
      <c r="L5">
        <v>5</v>
      </c>
      <c r="N5">
        <v>1</v>
      </c>
      <c r="O5">
        <v>2</v>
      </c>
      <c r="P5" t="s">
        <v>43</v>
      </c>
    </row>
    <row r="6" spans="1:16" x14ac:dyDescent="0.3">
      <c r="A6">
        <f t="shared" si="1"/>
        <v>4</v>
      </c>
      <c r="B6" t="s">
        <v>55</v>
      </c>
      <c r="C6" t="s">
        <v>54</v>
      </c>
      <c r="D6" t="str">
        <f t="shared" si="2"/>
        <v>Duck, Donald</v>
      </c>
      <c r="E6" t="s">
        <v>43</v>
      </c>
      <c r="F6">
        <f t="shared" si="0"/>
        <v>4</v>
      </c>
      <c r="G6">
        <f>COUNTIFS(Results!$J$4:$J$1048576,Setup!A6)</f>
        <v>4</v>
      </c>
      <c r="H6">
        <f>AVERAGEIFS(Results!$K$4:$K$1048576,Results!$J$4:$J$1048576,Setup!A6)</f>
        <v>7.7415000000000003</v>
      </c>
      <c r="I6">
        <f t="shared" si="3"/>
        <v>4</v>
      </c>
      <c r="K6">
        <v>4</v>
      </c>
      <c r="L6">
        <v>2</v>
      </c>
      <c r="M6">
        <v>5</v>
      </c>
      <c r="N6">
        <v>4</v>
      </c>
      <c r="P6" t="s">
        <v>43</v>
      </c>
    </row>
    <row r="7" spans="1:16" x14ac:dyDescent="0.3">
      <c r="A7">
        <f t="shared" si="1"/>
        <v>5</v>
      </c>
      <c r="B7" t="s">
        <v>56</v>
      </c>
      <c r="C7" t="s">
        <v>57</v>
      </c>
      <c r="D7" t="str">
        <f t="shared" si="2"/>
        <v>Musk, Elon</v>
      </c>
      <c r="E7" t="s">
        <v>43</v>
      </c>
      <c r="F7">
        <f t="shared" si="0"/>
        <v>4</v>
      </c>
      <c r="G7">
        <f>COUNTIFS(Results!$J$4:$J$1048576,Setup!A7)</f>
        <v>4</v>
      </c>
      <c r="H7">
        <f>AVERAGEIFS(Results!$K$4:$K$1048576,Results!$J$4:$J$1048576,Setup!A7)</f>
        <v>5.6087500000000006</v>
      </c>
      <c r="I7">
        <f t="shared" si="3"/>
        <v>5</v>
      </c>
      <c r="K7">
        <v>5</v>
      </c>
      <c r="M7">
        <v>3</v>
      </c>
      <c r="N7">
        <v>5</v>
      </c>
      <c r="O7">
        <v>1</v>
      </c>
      <c r="P7" t="s">
        <v>43</v>
      </c>
    </row>
    <row r="8" spans="1:16" x14ac:dyDescent="0.3">
      <c r="A8">
        <f t="shared" si="1"/>
        <v>6</v>
      </c>
      <c r="B8" t="s">
        <v>58</v>
      </c>
      <c r="C8" t="s">
        <v>59</v>
      </c>
      <c r="D8" t="str">
        <f t="shared" si="2"/>
        <v>Yeager, Chuck</v>
      </c>
      <c r="E8" t="s">
        <v>44</v>
      </c>
      <c r="F8">
        <f t="shared" si="0"/>
        <v>0</v>
      </c>
      <c r="G8">
        <f>COUNTIFS(Results!$J$4:$J$1048576,Setup!A8)</f>
        <v>0</v>
      </c>
      <c r="H8" t="e">
        <f>AVERAGEIFS(Results!$K$4:$K$1048576,Results!$J$4:$J$1048576,Setup!A8)</f>
        <v>#DIV/0!</v>
      </c>
      <c r="I8">
        <f t="shared" si="3"/>
        <v>6</v>
      </c>
      <c r="K8">
        <v>6</v>
      </c>
      <c r="L8">
        <v>3</v>
      </c>
      <c r="M8">
        <v>4</v>
      </c>
      <c r="O8">
        <v>5</v>
      </c>
      <c r="P8" t="s">
        <v>43</v>
      </c>
    </row>
    <row r="9" spans="1:16" x14ac:dyDescent="0.3">
      <c r="A9">
        <f t="shared" si="1"/>
        <v>7</v>
      </c>
      <c r="B9" t="s">
        <v>60</v>
      </c>
      <c r="C9" t="s">
        <v>61</v>
      </c>
      <c r="D9" t="str">
        <f t="shared" si="2"/>
        <v>Grissom, Guss</v>
      </c>
      <c r="E9" t="s">
        <v>44</v>
      </c>
      <c r="F9">
        <f t="shared" si="0"/>
        <v>0</v>
      </c>
      <c r="G9">
        <f>COUNTIFS(Results!$J$4:$J$1048576,Setup!A9)</f>
        <v>0</v>
      </c>
      <c r="H9" t="e">
        <f>AVERAGEIFS(Results!$K$4:$K$1048576,Results!$J$4:$J$1048576,Setup!A9)</f>
        <v>#DIV/0!</v>
      </c>
      <c r="I9">
        <f t="shared" si="3"/>
        <v>7</v>
      </c>
      <c r="K9">
        <v>7</v>
      </c>
    </row>
    <row r="10" spans="1:16" x14ac:dyDescent="0.3">
      <c r="A10">
        <f t="shared" si="1"/>
        <v>8</v>
      </c>
      <c r="B10" t="s">
        <v>33</v>
      </c>
      <c r="C10" t="s">
        <v>36</v>
      </c>
      <c r="D10" t="str">
        <f t="shared" si="2"/>
        <v>Armstrong, Louis</v>
      </c>
      <c r="E10" t="s">
        <v>44</v>
      </c>
      <c r="F10">
        <f t="shared" si="0"/>
        <v>0</v>
      </c>
      <c r="G10">
        <f>COUNTIFS(Results!$J$4:$J$1048576,Setup!A10)</f>
        <v>0</v>
      </c>
      <c r="H10" t="e">
        <f>AVERAGEIFS(Results!$K$4:$K$1048576,Results!$J$4:$J$1048576,Setup!A10)</f>
        <v>#DIV/0!</v>
      </c>
      <c r="I10">
        <f t="shared" si="3"/>
        <v>8</v>
      </c>
      <c r="K10">
        <v>8</v>
      </c>
    </row>
    <row r="11" spans="1:16" x14ac:dyDescent="0.3">
      <c r="A11">
        <f t="shared" si="1"/>
        <v>9</v>
      </c>
      <c r="B11" t="s">
        <v>37</v>
      </c>
      <c r="C11" t="s">
        <v>38</v>
      </c>
      <c r="D11" t="str">
        <f t="shared" si="2"/>
        <v>Collins, Michael</v>
      </c>
      <c r="E11" t="s">
        <v>44</v>
      </c>
      <c r="F11">
        <f t="shared" si="0"/>
        <v>0</v>
      </c>
      <c r="G11">
        <f>COUNTIFS(Results!$J$4:$J$1048576,Setup!A11)</f>
        <v>0</v>
      </c>
      <c r="H11" t="e">
        <f>AVERAGEIFS(Results!$K$4:$K$1048576,Results!$J$4:$J$1048576,Setup!A11)</f>
        <v>#DIV/0!</v>
      </c>
      <c r="I11">
        <f t="shared" si="3"/>
        <v>9</v>
      </c>
      <c r="K11">
        <v>9</v>
      </c>
    </row>
    <row r="12" spans="1:16" x14ac:dyDescent="0.3">
      <c r="A12">
        <f t="shared" si="1"/>
        <v>10</v>
      </c>
      <c r="B12" t="s">
        <v>62</v>
      </c>
      <c r="C12" t="s">
        <v>63</v>
      </c>
      <c r="D12" t="str">
        <f t="shared" si="2"/>
        <v>Arnold, Schwarzenegger</v>
      </c>
      <c r="E12" t="s">
        <v>44</v>
      </c>
      <c r="F12">
        <f t="shared" si="0"/>
        <v>0</v>
      </c>
      <c r="G12">
        <f>COUNTIFS(Results!$J$4:$J$1048576,Setup!A12)</f>
        <v>0</v>
      </c>
      <c r="H12" t="e">
        <f>AVERAGEIFS(Results!$K$4:$K$1048576,Results!$J$4:$J$1048576,Setup!A12)</f>
        <v>#DIV/0!</v>
      </c>
      <c r="I12">
        <f t="shared" si="3"/>
        <v>10</v>
      </c>
      <c r="K12">
        <v>10</v>
      </c>
    </row>
    <row r="13" spans="1:16" x14ac:dyDescent="0.3">
      <c r="A13">
        <f t="shared" si="1"/>
        <v>11</v>
      </c>
      <c r="B13" t="s">
        <v>37</v>
      </c>
      <c r="C13" t="s">
        <v>39</v>
      </c>
      <c r="D13" t="str">
        <f t="shared" si="2"/>
        <v>Collins, Phil</v>
      </c>
      <c r="E13" t="s">
        <v>45</v>
      </c>
      <c r="F13">
        <f t="shared" si="0"/>
        <v>0</v>
      </c>
      <c r="G13">
        <f>COUNTIFS(Results!$J$4:$J$1048576,Setup!A13)</f>
        <v>0</v>
      </c>
      <c r="H13" t="e">
        <f>AVERAGEIFS(Results!$K$4:$K$1048576,Results!$J$4:$J$1048576,Setup!A13)</f>
        <v>#DIV/0!</v>
      </c>
      <c r="I13">
        <f t="shared" si="3"/>
        <v>11</v>
      </c>
      <c r="K13">
        <v>11</v>
      </c>
    </row>
    <row r="14" spans="1:16" x14ac:dyDescent="0.3">
      <c r="A14">
        <f t="shared" si="1"/>
        <v>12</v>
      </c>
      <c r="B14" t="s">
        <v>41</v>
      </c>
      <c r="C14" t="s">
        <v>40</v>
      </c>
      <c r="D14" t="str">
        <f t="shared" si="2"/>
        <v>Aldrin, Buzz</v>
      </c>
      <c r="E14" t="s">
        <v>45</v>
      </c>
      <c r="F14">
        <f t="shared" si="0"/>
        <v>0</v>
      </c>
      <c r="G14">
        <f>COUNTIFS(Results!$J$4:$J$1048576,Setup!A14)</f>
        <v>0</v>
      </c>
      <c r="H14" t="e">
        <f>AVERAGEIFS(Results!$K$4:$K$1048576,Results!$J$4:$J$1048576,Setup!A14)</f>
        <v>#DIV/0!</v>
      </c>
      <c r="I14">
        <f t="shared" si="3"/>
        <v>12</v>
      </c>
      <c r="K14">
        <v>12</v>
      </c>
    </row>
    <row r="15" spans="1:16" x14ac:dyDescent="0.3">
      <c r="A15">
        <f t="shared" si="1"/>
        <v>13</v>
      </c>
      <c r="B15" t="s">
        <v>42</v>
      </c>
      <c r="C15" t="s">
        <v>40</v>
      </c>
      <c r="D15" t="str">
        <f t="shared" si="2"/>
        <v>Lightyear, Buzz</v>
      </c>
      <c r="E15" t="s">
        <v>45</v>
      </c>
      <c r="F15">
        <f t="shared" si="0"/>
        <v>0</v>
      </c>
      <c r="G15">
        <f>COUNTIFS(Results!$J$4:$J$1048576,Setup!A15)</f>
        <v>0</v>
      </c>
      <c r="H15" t="e">
        <f>AVERAGEIFS(Results!$K$4:$K$1048576,Results!$J$4:$J$1048576,Setup!A15)</f>
        <v>#DIV/0!</v>
      </c>
      <c r="I15">
        <f t="shared" si="3"/>
        <v>13</v>
      </c>
      <c r="K15">
        <v>13</v>
      </c>
    </row>
    <row r="16" spans="1:16" x14ac:dyDescent="0.3">
      <c r="A16">
        <f t="shared" si="1"/>
        <v>14</v>
      </c>
      <c r="B16" t="s">
        <v>50</v>
      </c>
      <c r="C16" t="s">
        <v>51</v>
      </c>
      <c r="D16" t="str">
        <f t="shared" si="2"/>
        <v>Corbin, Evan</v>
      </c>
      <c r="E16" t="s">
        <v>45</v>
      </c>
      <c r="F16">
        <f t="shared" si="0"/>
        <v>0</v>
      </c>
      <c r="G16">
        <f>COUNTIFS(Results!$J$4:$J$1048576,Setup!A16)</f>
        <v>0</v>
      </c>
      <c r="H16" t="e">
        <f>AVERAGEIFS(Results!$K$4:$K$1048576,Results!$J$4:$J$1048576,Setup!A16)</f>
        <v>#DIV/0!</v>
      </c>
      <c r="I16">
        <f t="shared" si="3"/>
        <v>14</v>
      </c>
      <c r="K16">
        <v>14</v>
      </c>
    </row>
    <row r="17" spans="1:11" x14ac:dyDescent="0.3">
      <c r="A17">
        <f t="shared" si="1"/>
        <v>15</v>
      </c>
      <c r="B17" t="s">
        <v>50</v>
      </c>
      <c r="C17" t="s">
        <v>52</v>
      </c>
      <c r="D17" t="str">
        <f t="shared" si="2"/>
        <v>Corbin, Katie</v>
      </c>
      <c r="E17" t="s">
        <v>45</v>
      </c>
      <c r="F17">
        <f t="shared" si="0"/>
        <v>0</v>
      </c>
      <c r="G17">
        <f>COUNTIFS(Results!$J$4:$J$1048576,Setup!A17)</f>
        <v>0</v>
      </c>
      <c r="H17" t="e">
        <f>AVERAGEIFS(Results!$K$4:$K$1048576,Results!$J$4:$J$1048576,Setup!A17)</f>
        <v>#DIV/0!</v>
      </c>
      <c r="I17">
        <f t="shared" si="3"/>
        <v>15</v>
      </c>
      <c r="K17">
        <v>15</v>
      </c>
    </row>
    <row r="18" spans="1:11" x14ac:dyDescent="0.3">
      <c r="K18">
        <v>16</v>
      </c>
    </row>
    <row r="19" spans="1:11" x14ac:dyDescent="0.3">
      <c r="K19">
        <v>17</v>
      </c>
    </row>
    <row r="20" spans="1:11" x14ac:dyDescent="0.3">
      <c r="K20">
        <v>18</v>
      </c>
    </row>
    <row r="21" spans="1:11" x14ac:dyDescent="0.3">
      <c r="K21">
        <v>19</v>
      </c>
    </row>
    <row r="22" spans="1:11" x14ac:dyDescent="0.3">
      <c r="K22">
        <v>20</v>
      </c>
    </row>
  </sheetData>
  <dataValidations count="1">
    <dataValidation type="list" allowBlank="1" showInputMessage="1" showErrorMessage="1" sqref="E30:E1048576 E3:E22" xr:uid="{7F7B71F2-41D3-42DE-B386-025657433E5A}">
      <formula1>#REF!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7B4ED-00FA-480D-8426-8C7B87DA8AB3}">
  <sheetPr codeName="Sheet2">
    <tabColor theme="9"/>
  </sheetPr>
  <dimension ref="A1:M33"/>
  <sheetViews>
    <sheetView topLeftCell="A12" zoomScaleNormal="100" workbookViewId="0">
      <selection activeCell="F29" sqref="F29"/>
    </sheetView>
  </sheetViews>
  <sheetFormatPr defaultRowHeight="14.4" x14ac:dyDescent="0.3"/>
  <cols>
    <col min="1" max="1" width="12.5546875" customWidth="1"/>
    <col min="2" max="2" width="14.33203125" customWidth="1"/>
    <col min="3" max="3" width="25" bestFit="1" customWidth="1"/>
    <col min="7" max="7" width="8.88671875" customWidth="1"/>
    <col min="8" max="8" width="3" style="20" customWidth="1"/>
    <col min="9" max="10" width="7" customWidth="1"/>
    <col min="11" max="11" width="8.5546875" customWidth="1"/>
    <col min="12" max="12" width="7.33203125" customWidth="1"/>
    <col min="13" max="13" width="7.6640625" customWidth="1"/>
    <col min="14" max="17" width="6" bestFit="1" customWidth="1"/>
  </cols>
  <sheetData>
    <row r="1" spans="1:13" x14ac:dyDescent="0.3">
      <c r="A1" t="s">
        <v>88</v>
      </c>
      <c r="B1">
        <f>B3+1</f>
        <v>3</v>
      </c>
      <c r="D1" s="25">
        <f>VLOOKUP($B$1,Setup!$K$3:$O$369,2,FALSE)</f>
        <v>5</v>
      </c>
      <c r="E1" s="26">
        <f>VLOOKUP($B$1,Setup!$K$3:$O$369,3,FALSE)</f>
        <v>0</v>
      </c>
      <c r="F1" s="26">
        <f>VLOOKUP($B$1,Setup!$K$3:$O$369,4,FALSE)</f>
        <v>1</v>
      </c>
      <c r="G1" s="27">
        <f>VLOOKUP($B$1,Setup!$K$3:$O$369,5,FALSE)</f>
        <v>2</v>
      </c>
    </row>
    <row r="2" spans="1:13" ht="15" thickBot="1" x14ac:dyDescent="0.35">
      <c r="B2" s="24" t="s">
        <v>31</v>
      </c>
      <c r="C2" s="12"/>
      <c r="D2" s="71" t="s">
        <v>68</v>
      </c>
      <c r="E2" s="15" t="s">
        <v>67</v>
      </c>
      <c r="F2" s="16" t="s">
        <v>66</v>
      </c>
      <c r="G2" s="13" t="s">
        <v>65</v>
      </c>
      <c r="I2">
        <f>COUNTA(I4:I1048576)</f>
        <v>28</v>
      </c>
    </row>
    <row r="3" spans="1:13" ht="15" thickBot="1" x14ac:dyDescent="0.35">
      <c r="B3" s="23">
        <v>2</v>
      </c>
      <c r="C3" s="19" t="s">
        <v>73</v>
      </c>
      <c r="D3" s="25">
        <f>VLOOKUP($B$3,Setup!$K$3:$O$369,2,FALSE)</f>
        <v>4</v>
      </c>
      <c r="E3" s="26">
        <f>VLOOKUP($B$3,Setup!$K$3:$O$369,3,FALSE)</f>
        <v>1</v>
      </c>
      <c r="F3" s="26">
        <f>VLOOKUP($B$3,Setup!$K$3:$O$369,4,FALSE)</f>
        <v>2</v>
      </c>
      <c r="G3" s="27">
        <f>VLOOKUP($B$3,Setup!$K$3:$O$369,5,FALSE)</f>
        <v>3</v>
      </c>
      <c r="I3" s="31" t="s">
        <v>31</v>
      </c>
      <c r="J3" s="31" t="s">
        <v>32</v>
      </c>
      <c r="K3" s="31" t="s">
        <v>69</v>
      </c>
      <c r="L3" s="31"/>
      <c r="M3" s="31"/>
    </row>
    <row r="4" spans="1:13" x14ac:dyDescent="0.3">
      <c r="B4" t="str">
        <f>VLOOKUP(1,A28:B33,2,FALSE)</f>
        <v>Race Started</v>
      </c>
      <c r="C4" s="36" t="s">
        <v>71</v>
      </c>
      <c r="D4" s="37">
        <f>MAX(D8:D12)/1000</f>
        <v>0</v>
      </c>
      <c r="E4" s="37">
        <f>MAX(E8:E12)/1000</f>
        <v>2.706</v>
      </c>
      <c r="F4" s="37">
        <f>MAX(F8:F12)/1000</f>
        <v>3.4390000000000001</v>
      </c>
      <c r="G4" s="38">
        <f>MAX(G8:G12)/1000</f>
        <v>4.2359999999999998</v>
      </c>
      <c r="I4">
        <v>1</v>
      </c>
      <c r="J4">
        <v>1</v>
      </c>
      <c r="K4">
        <v>4.8949999999999996</v>
      </c>
    </row>
    <row r="5" spans="1:13" x14ac:dyDescent="0.3">
      <c r="C5" s="39" t="s">
        <v>70</v>
      </c>
      <c r="D5" s="35" t="str">
        <f>IFERROR(0.25/(D4/3600),"")</f>
        <v/>
      </c>
      <c r="E5" s="35">
        <f>IFERROR(0.25/(E4/3600),"")</f>
        <v>332.59423503325945</v>
      </c>
      <c r="F5" s="35">
        <f>IFERROR(0.25/(F4/3600),"")</f>
        <v>261.70398371619655</v>
      </c>
      <c r="G5" s="44">
        <f>IFERROR(0.25/(G4/3600),"")</f>
        <v>212.46458923512751</v>
      </c>
      <c r="I5">
        <v>1</v>
      </c>
      <c r="J5">
        <v>2</v>
      </c>
      <c r="K5">
        <v>23.013999999999999</v>
      </c>
    </row>
    <row r="6" spans="1:13" ht="15" thickBot="1" x14ac:dyDescent="0.35">
      <c r="C6" s="41" t="s">
        <v>89</v>
      </c>
      <c r="D6" s="42">
        <f>VLOOKUP(D3,$B$22:$D$25,3,FALSE)</f>
        <v>3</v>
      </c>
      <c r="E6" s="42">
        <f>VLOOKUP(E3,$B$22:$D$25,3,FALSE)</f>
        <v>1</v>
      </c>
      <c r="F6" s="42">
        <f>VLOOKUP(F3,$B$22:$D$25,3,FALSE)</f>
        <v>2</v>
      </c>
      <c r="G6" s="42">
        <f>VLOOKUP(G3,$B$22:$D$25,3,FALSE)</f>
        <v>3</v>
      </c>
      <c r="I6">
        <v>1</v>
      </c>
      <c r="J6">
        <v>3</v>
      </c>
      <c r="K6">
        <v>19.449000000000002</v>
      </c>
    </row>
    <row r="7" spans="1:13" ht="15" thickBot="1" x14ac:dyDescent="0.35">
      <c r="A7" t="s">
        <v>116</v>
      </c>
      <c r="B7" t="s">
        <v>115</v>
      </c>
      <c r="C7" t="s">
        <v>76</v>
      </c>
      <c r="D7" s="28"/>
      <c r="E7" s="28"/>
      <c r="F7" s="28"/>
      <c r="G7" s="28"/>
      <c r="I7">
        <v>1</v>
      </c>
      <c r="J7">
        <v>4</v>
      </c>
      <c r="K7">
        <v>13.028</v>
      </c>
    </row>
    <row r="8" spans="1:13" x14ac:dyDescent="0.3">
      <c r="A8">
        <f>IF(LEFT(C8,1)="R",1,0)</f>
        <v>1</v>
      </c>
      <c r="B8">
        <f>IF(LEFT(C8)="L",1,0)</f>
        <v>0</v>
      </c>
      <c r="C8" s="36" t="str">
        <f>TBL_HST[[#This Row],[CH1]]</f>
        <v>Race Started</v>
      </c>
      <c r="D8" s="37" t="str">
        <f t="shared" ref="D8:G13" si="0">IFERROR(IF(FIND(D$2,$C8)&gt;0,_xlfn.NUMBERVALUE(RIGHT($C8,LEN($C8)-11))),"")</f>
        <v/>
      </c>
      <c r="E8" s="37" t="str">
        <f t="shared" si="0"/>
        <v/>
      </c>
      <c r="F8" s="37" t="str">
        <f t="shared" si="0"/>
        <v/>
      </c>
      <c r="G8" s="38" t="str">
        <f t="shared" si="0"/>
        <v/>
      </c>
      <c r="I8">
        <v>2</v>
      </c>
      <c r="J8">
        <v>4</v>
      </c>
      <c r="K8">
        <v>6.4710000000000001</v>
      </c>
    </row>
    <row r="9" spans="1:13" x14ac:dyDescent="0.3">
      <c r="A9">
        <f t="shared" ref="A9:A13" si="1">IF(LEFT(C9,1)="R",1,0)</f>
        <v>0</v>
      </c>
      <c r="B9">
        <f>IF(LEFT(C9)="L",1,0)</f>
        <v>0</v>
      </c>
      <c r="C9" s="39" t="str">
        <f>TBL_HST[[#This Row],[CH1]]</f>
        <v>Switch closed. Timers reset.</v>
      </c>
      <c r="D9" s="32" t="str">
        <f t="shared" si="0"/>
        <v/>
      </c>
      <c r="E9" s="32" t="str">
        <f t="shared" si="0"/>
        <v/>
      </c>
      <c r="F9" s="32" t="str">
        <f t="shared" si="0"/>
        <v/>
      </c>
      <c r="G9" s="40" t="str">
        <f t="shared" si="0"/>
        <v/>
      </c>
      <c r="I9">
        <v>2</v>
      </c>
      <c r="J9">
        <v>1</v>
      </c>
      <c r="K9">
        <v>5.9960000000000004</v>
      </c>
    </row>
    <row r="10" spans="1:13" x14ac:dyDescent="0.3">
      <c r="A10">
        <f t="shared" si="1"/>
        <v>0</v>
      </c>
      <c r="B10">
        <f>IF(LEFT(C10)="L",1,0)</f>
        <v>1</v>
      </c>
      <c r="C10" s="39" t="str">
        <f>TBL_HST[[#This Row],[CH1]]</f>
        <v>Lane1 Time: 4236</v>
      </c>
      <c r="D10" s="32" t="str">
        <f t="shared" si="0"/>
        <v/>
      </c>
      <c r="E10" s="32" t="str">
        <f t="shared" si="0"/>
        <v/>
      </c>
      <c r="F10" s="32" t="str">
        <f t="shared" si="0"/>
        <v/>
      </c>
      <c r="G10" s="40">
        <f t="shared" si="0"/>
        <v>4236</v>
      </c>
      <c r="I10">
        <v>2</v>
      </c>
      <c r="J10">
        <v>2</v>
      </c>
      <c r="K10">
        <v>5.4710000000000001</v>
      </c>
    </row>
    <row r="11" spans="1:13" x14ac:dyDescent="0.3">
      <c r="A11">
        <f t="shared" si="1"/>
        <v>0</v>
      </c>
      <c r="B11">
        <f>IF(LEFT(C11)="L",1,0)</f>
        <v>1</v>
      </c>
      <c r="C11" s="39" t="str">
        <f>TBL_HST[[#This Row],[CH1]]</f>
        <v>Lane2 Time: 3439</v>
      </c>
      <c r="D11" s="32" t="str">
        <f t="shared" si="0"/>
        <v/>
      </c>
      <c r="E11" s="32" t="str">
        <f t="shared" si="0"/>
        <v/>
      </c>
      <c r="F11" s="32">
        <f t="shared" si="0"/>
        <v>3439</v>
      </c>
      <c r="G11" s="40" t="str">
        <f t="shared" si="0"/>
        <v/>
      </c>
      <c r="I11">
        <v>2</v>
      </c>
      <c r="J11">
        <v>3</v>
      </c>
      <c r="K11">
        <v>4.4969999999999999</v>
      </c>
    </row>
    <row r="12" spans="1:13" x14ac:dyDescent="0.3">
      <c r="A12">
        <f t="shared" si="1"/>
        <v>0</v>
      </c>
      <c r="B12">
        <f>IF(LEFT(C12)="R",1,0)</f>
        <v>0</v>
      </c>
      <c r="C12" s="39" t="str">
        <f>TBL_HST[[#This Row],[CH1]]</f>
        <v>Lane3 Time: 2706</v>
      </c>
      <c r="D12" s="32" t="str">
        <f t="shared" si="0"/>
        <v/>
      </c>
      <c r="E12" s="32">
        <f t="shared" si="0"/>
        <v>2706</v>
      </c>
      <c r="F12" s="32" t="str">
        <f t="shared" si="0"/>
        <v/>
      </c>
      <c r="G12" s="40" t="str">
        <f t="shared" si="0"/>
        <v/>
      </c>
      <c r="I12">
        <v>3</v>
      </c>
      <c r="J12">
        <v>5</v>
      </c>
      <c r="K12">
        <v>6.4710000000000001</v>
      </c>
    </row>
    <row r="13" spans="1:13" ht="15" thickBot="1" x14ac:dyDescent="0.35">
      <c r="A13">
        <f t="shared" si="1"/>
        <v>0</v>
      </c>
      <c r="B13">
        <f>IF(LEFT(C13,1)="R",1,0)</f>
        <v>0</v>
      </c>
      <c r="C13" s="41" t="str">
        <f>TBL_HST[[#This Row],[CH1]]</f>
        <v>Lane4 Time: 1868</v>
      </c>
      <c r="D13" s="42">
        <f t="shared" si="0"/>
        <v>1868</v>
      </c>
      <c r="E13" s="42" t="str">
        <f t="shared" si="0"/>
        <v/>
      </c>
      <c r="F13" s="42" t="str">
        <f t="shared" si="0"/>
        <v/>
      </c>
      <c r="G13" s="43" t="str">
        <f t="shared" si="0"/>
        <v/>
      </c>
      <c r="I13">
        <v>3</v>
      </c>
      <c r="J13">
        <v>0</v>
      </c>
      <c r="K13">
        <v>5.9960000000000004</v>
      </c>
    </row>
    <row r="14" spans="1:13" x14ac:dyDescent="0.3">
      <c r="I14">
        <v>3</v>
      </c>
      <c r="J14">
        <v>1</v>
      </c>
      <c r="K14">
        <v>5.4710000000000001</v>
      </c>
    </row>
    <row r="15" spans="1:13" x14ac:dyDescent="0.3">
      <c r="I15">
        <v>3</v>
      </c>
      <c r="J15">
        <v>2</v>
      </c>
      <c r="K15">
        <v>4.4969999999999999</v>
      </c>
    </row>
    <row r="16" spans="1:13" x14ac:dyDescent="0.3">
      <c r="I16">
        <v>4</v>
      </c>
      <c r="J16">
        <v>2</v>
      </c>
      <c r="K16">
        <v>6.4710000000000001</v>
      </c>
    </row>
    <row r="17" spans="1:11" x14ac:dyDescent="0.3">
      <c r="I17">
        <v>4</v>
      </c>
      <c r="J17">
        <v>5</v>
      </c>
      <c r="K17">
        <v>5.9960000000000004</v>
      </c>
    </row>
    <row r="18" spans="1:11" x14ac:dyDescent="0.3">
      <c r="I18">
        <v>4</v>
      </c>
      <c r="J18">
        <v>4</v>
      </c>
      <c r="K18">
        <v>5.4710000000000001</v>
      </c>
    </row>
    <row r="19" spans="1:11" x14ac:dyDescent="0.3">
      <c r="D19" s="22"/>
      <c r="I19">
        <v>4</v>
      </c>
      <c r="J19">
        <v>0</v>
      </c>
      <c r="K19">
        <v>4.4969999999999999</v>
      </c>
    </row>
    <row r="20" spans="1:11" x14ac:dyDescent="0.3">
      <c r="C20" s="28"/>
      <c r="D20" s="22"/>
      <c r="I20">
        <v>5</v>
      </c>
      <c r="J20">
        <v>0</v>
      </c>
      <c r="K20">
        <v>6.4710000000000001</v>
      </c>
    </row>
    <row r="21" spans="1:11" x14ac:dyDescent="0.3">
      <c r="B21" s="20" t="s">
        <v>89</v>
      </c>
      <c r="C21" s="32"/>
      <c r="D21" s="33" t="s">
        <v>32</v>
      </c>
      <c r="E21" s="20" t="s">
        <v>7</v>
      </c>
      <c r="F21" t="s">
        <v>69</v>
      </c>
      <c r="I21">
        <v>5</v>
      </c>
      <c r="J21">
        <v>3</v>
      </c>
      <c r="K21">
        <v>5.9960000000000004</v>
      </c>
    </row>
    <row r="22" spans="1:11" x14ac:dyDescent="0.3">
      <c r="B22" s="20">
        <v>1</v>
      </c>
      <c r="C22" s="34">
        <f>MAX(D5:G5)</f>
        <v>332.59423503325945</v>
      </c>
      <c r="D22" s="33">
        <f>_xlfn.XLOOKUP(C22,$D$5:$G$5,$D$3:$G$3,"",0,1)</f>
        <v>1</v>
      </c>
      <c r="E22" s="20" t="str">
        <f>VLOOKUP(D22,Setup!$A$3:$D$406,4,FALSE)</f>
        <v>Armstrong, Lance</v>
      </c>
      <c r="F22" s="33">
        <f>_xlfn.XLOOKUP(D22,$D$3:$G$3,$D$4:$G$4,"",0,1)</f>
        <v>2.706</v>
      </c>
      <c r="I22">
        <v>5</v>
      </c>
      <c r="J22">
        <v>5</v>
      </c>
      <c r="K22">
        <v>5.4710000000000001</v>
      </c>
    </row>
    <row r="23" spans="1:11" x14ac:dyDescent="0.3">
      <c r="B23" s="20">
        <v>2</v>
      </c>
      <c r="C23" s="35">
        <f>_xlfn.MAXIFS($D$5:$G$5,$D$5:$G$5,"&lt;"&amp;C22)</f>
        <v>261.70398371619655</v>
      </c>
      <c r="D23" s="33">
        <f t="shared" ref="D23:D25" si="2">_xlfn.XLOOKUP(C23,$D$5:$G$5,$D$3:$G$3,"",0,1)</f>
        <v>2</v>
      </c>
      <c r="E23" s="20" t="str">
        <f>VLOOKUP(D23,Setup!$A$3:$D$406,4,FALSE)</f>
        <v>Armstrong, Neil</v>
      </c>
      <c r="F23" s="33">
        <f t="shared" ref="F23:F25" si="3">_xlfn.XLOOKUP(D23,$D$3:$G$3,$D$4:$G$4,"",0,1)</f>
        <v>3.4390000000000001</v>
      </c>
      <c r="I23">
        <v>5</v>
      </c>
      <c r="J23">
        <v>1</v>
      </c>
      <c r="K23">
        <v>4.4969999999999999</v>
      </c>
    </row>
    <row r="24" spans="1:11" x14ac:dyDescent="0.3">
      <c r="B24" s="20">
        <v>3</v>
      </c>
      <c r="C24" s="35">
        <f>_xlfn.MAXIFS($D$5:$G$5,$D$5:$G$5,"&lt;"&amp;C23)</f>
        <v>212.46458923512751</v>
      </c>
      <c r="D24" s="33">
        <f t="shared" si="2"/>
        <v>3</v>
      </c>
      <c r="E24" s="20" t="str">
        <f>VLOOKUP(D24,Setup!$A$3:$D$406,4,FALSE)</f>
        <v>Trump, Donald</v>
      </c>
      <c r="F24" s="33">
        <f t="shared" si="3"/>
        <v>4.2359999999999998</v>
      </c>
      <c r="I24">
        <v>6</v>
      </c>
      <c r="J24">
        <v>3</v>
      </c>
      <c r="K24">
        <v>6.4710000000000001</v>
      </c>
    </row>
    <row r="25" spans="1:11" x14ac:dyDescent="0.3">
      <c r="B25" s="20">
        <v>4</v>
      </c>
      <c r="C25" s="35">
        <f>MIN(D5:G5)</f>
        <v>212.46458923512751</v>
      </c>
      <c r="D25" s="33">
        <f t="shared" si="2"/>
        <v>3</v>
      </c>
      <c r="E25" s="20" t="str">
        <f>VLOOKUP(D25,Setup!$A$3:$D$406,4,FALSE)</f>
        <v>Trump, Donald</v>
      </c>
      <c r="F25" s="33">
        <f t="shared" si="3"/>
        <v>4.2359999999999998</v>
      </c>
      <c r="I25">
        <v>6</v>
      </c>
      <c r="J25">
        <v>4</v>
      </c>
      <c r="K25">
        <v>5.9960000000000004</v>
      </c>
    </row>
    <row r="26" spans="1:11" x14ac:dyDescent="0.3">
      <c r="C26" t="s">
        <v>115</v>
      </c>
      <c r="D26" t="s">
        <v>116</v>
      </c>
      <c r="I26">
        <v>6</v>
      </c>
      <c r="J26">
        <v>0</v>
      </c>
      <c r="K26">
        <v>5.4710000000000001</v>
      </c>
    </row>
    <row r="27" spans="1:11" x14ac:dyDescent="0.3">
      <c r="B27" s="12" t="s">
        <v>104</v>
      </c>
      <c r="C27" s="12" t="str">
        <f>CONCATENATE(B8,B9,B10,,B11,B12,B13)</f>
        <v>001100</v>
      </c>
      <c r="D27" s="72" t="str">
        <f>CONCATENATE(A8,A9,A10,A11,A12,A13)</f>
        <v>100000</v>
      </c>
      <c r="I27">
        <v>6</v>
      </c>
      <c r="J27">
        <v>5</v>
      </c>
      <c r="K27">
        <v>4.4969999999999999</v>
      </c>
    </row>
    <row r="28" spans="1:11" x14ac:dyDescent="0.3">
      <c r="A28">
        <f>IF(C28=$C$27,1,0)</f>
        <v>0</v>
      </c>
      <c r="B28" t="s">
        <v>103</v>
      </c>
      <c r="C28" t="s">
        <v>105</v>
      </c>
      <c r="D28" t="s">
        <v>119</v>
      </c>
      <c r="E28" t="e" cm="1">
        <f t="array" aca="1" ref="E28" ca="1">RunPython("import FinishLineCutScene.py; FinishLineCutScene.main()")</f>
        <v>#NAME?</v>
      </c>
      <c r="I28">
        <v>7</v>
      </c>
      <c r="J28">
        <v>0</v>
      </c>
      <c r="K28">
        <v>6.4710000000000001</v>
      </c>
    </row>
    <row r="29" spans="1:11" x14ac:dyDescent="0.3">
      <c r="A29">
        <f t="shared" ref="A29:A33" si="4">IF(C29=$C$27,1,0)</f>
        <v>0</v>
      </c>
      <c r="B29" t="s">
        <v>107</v>
      </c>
      <c r="C29" t="s">
        <v>106</v>
      </c>
      <c r="D29" t="s">
        <v>118</v>
      </c>
      <c r="I29">
        <v>7</v>
      </c>
      <c r="J29">
        <v>0</v>
      </c>
      <c r="K29">
        <v>5.9960000000000004</v>
      </c>
    </row>
    <row r="30" spans="1:11" x14ac:dyDescent="0.3">
      <c r="A30">
        <f t="shared" si="4"/>
        <v>1</v>
      </c>
      <c r="B30" t="s">
        <v>102</v>
      </c>
      <c r="C30" t="s">
        <v>108</v>
      </c>
      <c r="I30">
        <v>7</v>
      </c>
      <c r="J30">
        <v>0</v>
      </c>
      <c r="K30">
        <v>5.4710000000000001</v>
      </c>
    </row>
    <row r="31" spans="1:11" x14ac:dyDescent="0.3">
      <c r="A31">
        <f t="shared" si="4"/>
        <v>0</v>
      </c>
      <c r="B31" t="s">
        <v>110</v>
      </c>
      <c r="C31" t="s">
        <v>109</v>
      </c>
      <c r="I31">
        <v>7</v>
      </c>
      <c r="J31">
        <v>0</v>
      </c>
      <c r="K31">
        <v>4.4969999999999999</v>
      </c>
    </row>
    <row r="32" spans="1:11" x14ac:dyDescent="0.3">
      <c r="A32">
        <f t="shared" si="4"/>
        <v>0</v>
      </c>
      <c r="B32" t="s">
        <v>111</v>
      </c>
      <c r="C32" t="s">
        <v>112</v>
      </c>
    </row>
    <row r="33" spans="1:3" x14ac:dyDescent="0.3">
      <c r="A33">
        <f t="shared" si="4"/>
        <v>0</v>
      </c>
      <c r="B33" t="s">
        <v>113</v>
      </c>
      <c r="C33" t="s">
        <v>114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02383-F985-4C9E-AAF5-4A02E3DFEFF2}">
  <sheetPr codeName="Sheet3">
    <tabColor theme="9"/>
  </sheetPr>
  <dimension ref="A1:K22"/>
  <sheetViews>
    <sheetView topLeftCell="A2" workbookViewId="0">
      <selection activeCell="B17" sqref="B17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1" ht="29.4" x14ac:dyDescent="0.65">
      <c r="A1" s="73" t="s">
        <v>21</v>
      </c>
      <c r="B1" s="73"/>
      <c r="C1" s="73"/>
      <c r="D1" s="73"/>
      <c r="E1" s="73"/>
      <c r="F1" s="73"/>
      <c r="G1" s="73"/>
      <c r="H1" s="73"/>
      <c r="I1" s="73"/>
      <c r="J1" s="73"/>
    </row>
    <row r="2" spans="1:11" ht="16.8" x14ac:dyDescent="0.3">
      <c r="A2" s="74" t="s">
        <v>22</v>
      </c>
      <c r="B2" s="74"/>
      <c r="C2" s="74"/>
      <c r="D2" s="74"/>
      <c r="E2" s="74"/>
      <c r="F2" s="74"/>
      <c r="G2" s="74"/>
      <c r="H2" s="74"/>
      <c r="I2" s="74"/>
      <c r="J2" s="74"/>
    </row>
    <row r="3" spans="1:11" ht="33.450000000000003" customHeight="1" x14ac:dyDescent="0.45">
      <c r="A3" s="75" t="s">
        <v>23</v>
      </c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x14ac:dyDescent="0.3">
      <c r="A4" s="7" t="s">
        <v>24</v>
      </c>
      <c r="B4" s="7" t="s">
        <v>11</v>
      </c>
      <c r="C4" s="7" t="s">
        <v>77</v>
      </c>
      <c r="D4" s="7" t="s">
        <v>78</v>
      </c>
      <c r="E4" s="7" t="s">
        <v>79</v>
      </c>
      <c r="F4" s="7" t="s">
        <v>80</v>
      </c>
      <c r="G4" s="7" t="s">
        <v>81</v>
      </c>
      <c r="H4" s="7" t="s">
        <v>82</v>
      </c>
      <c r="I4" s="7" t="s">
        <v>83</v>
      </c>
      <c r="J4" s="7" t="s">
        <v>84</v>
      </c>
      <c r="K4" s="7" t="s">
        <v>85</v>
      </c>
    </row>
    <row r="5" spans="1:11" ht="19.5" customHeight="1" x14ac:dyDescent="0.3">
      <c r="A5" s="8">
        <v>46026.692461435188</v>
      </c>
      <c r="B5" s="10" t="s">
        <v>102</v>
      </c>
      <c r="C5" s="53"/>
      <c r="D5" s="53"/>
      <c r="E5" s="53"/>
      <c r="F5" s="53"/>
      <c r="G5" s="53"/>
      <c r="H5" s="53"/>
      <c r="I5" s="53"/>
      <c r="J5" s="53"/>
      <c r="K5" s="53"/>
    </row>
    <row r="6" spans="1:11" ht="33.450000000000003" customHeight="1" x14ac:dyDescent="0.45">
      <c r="A6" s="76" t="s">
        <v>25</v>
      </c>
      <c r="B6" s="76"/>
      <c r="C6" s="76"/>
      <c r="D6" s="76"/>
      <c r="E6" s="76"/>
      <c r="F6" s="76"/>
      <c r="G6" s="76"/>
      <c r="H6" s="76"/>
      <c r="I6" s="76"/>
      <c r="J6" s="76"/>
      <c r="K6" s="76"/>
    </row>
    <row r="7" spans="1:11" ht="15" x14ac:dyDescent="0.3">
      <c r="A7" s="7" t="s">
        <v>24</v>
      </c>
      <c r="B7" s="7" t="s">
        <v>11</v>
      </c>
      <c r="C7" s="7" t="s">
        <v>77</v>
      </c>
      <c r="D7" s="7" t="s">
        <v>78</v>
      </c>
      <c r="E7" s="7" t="s">
        <v>79</v>
      </c>
      <c r="F7" s="7" t="s">
        <v>80</v>
      </c>
      <c r="G7" s="7" t="s">
        <v>81</v>
      </c>
      <c r="H7" s="7" t="s">
        <v>82</v>
      </c>
      <c r="I7" s="7" t="s">
        <v>83</v>
      </c>
      <c r="J7" s="7" t="s">
        <v>84</v>
      </c>
      <c r="K7" s="7" t="s">
        <v>85</v>
      </c>
    </row>
    <row r="8" spans="1:11" ht="19.5" customHeight="1" x14ac:dyDescent="0.3">
      <c r="A8" s="17">
        <v>46026.692461435188</v>
      </c>
      <c r="B8" s="18" t="s">
        <v>102</v>
      </c>
      <c r="C8" s="55"/>
      <c r="D8" s="55"/>
      <c r="E8" s="55"/>
      <c r="F8" s="55"/>
      <c r="G8" s="55"/>
      <c r="H8" s="55"/>
      <c r="I8" s="55"/>
      <c r="J8" s="55"/>
      <c r="K8" s="55"/>
    </row>
    <row r="9" spans="1:11" ht="19.5" customHeight="1" x14ac:dyDescent="0.3">
      <c r="A9" s="9">
        <v>46026.692449594906</v>
      </c>
      <c r="B9" s="11" t="s">
        <v>26</v>
      </c>
      <c r="C9" s="54"/>
      <c r="D9" s="54"/>
      <c r="E9" s="54"/>
      <c r="F9" s="54"/>
      <c r="G9" s="54"/>
      <c r="H9" s="54"/>
      <c r="I9" s="54"/>
      <c r="J9" s="54"/>
      <c r="K9" s="54"/>
    </row>
    <row r="10" spans="1:11" ht="19.5" customHeight="1" x14ac:dyDescent="0.3">
      <c r="A10" s="9">
        <v>46026.690837222224</v>
      </c>
      <c r="B10" s="11" t="s">
        <v>125</v>
      </c>
      <c r="C10" s="54"/>
      <c r="D10" s="54"/>
      <c r="E10" s="54"/>
      <c r="F10" s="54"/>
      <c r="G10" s="54"/>
      <c r="H10" s="54"/>
      <c r="I10" s="54"/>
      <c r="J10" s="54"/>
      <c r="K10" s="54"/>
    </row>
    <row r="11" spans="1:11" ht="19.5" customHeight="1" x14ac:dyDescent="0.3">
      <c r="A11" s="9">
        <v>46026.69082797454</v>
      </c>
      <c r="B11" s="11" t="s">
        <v>124</v>
      </c>
      <c r="C11" s="54"/>
      <c r="D11" s="54"/>
      <c r="E11" s="54"/>
      <c r="F11" s="54"/>
      <c r="G11" s="54"/>
      <c r="H11" s="54"/>
      <c r="I11" s="54"/>
      <c r="J11" s="54"/>
      <c r="K11" s="54"/>
    </row>
    <row r="12" spans="1:11" ht="19.5" customHeight="1" x14ac:dyDescent="0.3">
      <c r="A12" s="9">
        <v>46026.690819490737</v>
      </c>
      <c r="B12" s="11" t="s">
        <v>123</v>
      </c>
      <c r="C12" s="54"/>
      <c r="D12" s="54"/>
      <c r="E12" s="54"/>
      <c r="F12" s="54"/>
      <c r="G12" s="54"/>
      <c r="H12" s="54"/>
      <c r="I12" s="54"/>
      <c r="J12" s="54"/>
      <c r="K12" s="54"/>
    </row>
    <row r="13" spans="1:11" ht="19.5" customHeight="1" x14ac:dyDescent="0.3">
      <c r="A13" s="9">
        <v>46026.690809768515</v>
      </c>
      <c r="B13" s="11" t="s">
        <v>122</v>
      </c>
      <c r="C13" s="54"/>
      <c r="D13" s="54"/>
      <c r="E13" s="54"/>
      <c r="F13" s="54"/>
      <c r="G13" s="54"/>
      <c r="H13" s="54"/>
      <c r="I13" s="54"/>
      <c r="J13" s="54"/>
      <c r="K13" s="54"/>
    </row>
    <row r="14" spans="1:11" ht="19.5" customHeight="1" x14ac:dyDescent="0.3"/>
    <row r="15" spans="1:11" ht="19.5" customHeight="1" x14ac:dyDescent="0.3"/>
    <row r="16" spans="1:11" ht="19.5" customHeight="1" x14ac:dyDescent="0.3"/>
    <row r="17" s="1" customFormat="1" ht="19.5" customHeight="1" x14ac:dyDescent="0.3"/>
    <row r="18" s="1" customFormat="1" ht="19.5" customHeight="1" x14ac:dyDescent="0.3"/>
    <row r="19" s="1" customFormat="1" ht="19.5" customHeight="1" x14ac:dyDescent="0.3"/>
    <row r="20" s="1" customFormat="1" ht="19.5" customHeight="1" x14ac:dyDescent="0.3"/>
    <row r="21" s="1" customFormat="1" ht="19.5" customHeight="1" x14ac:dyDescent="0.3"/>
    <row r="22" s="1" customFormat="1" ht="19.5" customHeight="1" x14ac:dyDescent="0.3"/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2C4A42CA-F27E-4364-A229-F7D3BBE5A969}"/>
    <dataValidation allowBlank="1" showInputMessage="1" showErrorMessage="1" prompt="TBL_CUR[CH1]" sqref="B5" xr:uid="{3E100F98-8936-466E-BF12-C13F79410CE4}"/>
    <dataValidation allowBlank="1" showInputMessage="1" showErrorMessage="1" prompt="Time_x000d__x000a__x000d__x000a_TBL_HST[TIME]" sqref="A7 A8:A13" xr:uid="{1169261B-BAFC-4B1F-9DF1-3CCDD38B310D}"/>
    <dataValidation allowBlank="1" showInputMessage="1" showErrorMessage="1" prompt="TBL_HST[CH1]" sqref="B7 B8:B13" xr:uid="{56AB4E83-F512-440F-8227-6AB9AAEC9C26}"/>
    <dataValidation allowBlank="1" showInputMessage="1" showErrorMessage="1" prompt="TBL_CUR[CH2]" sqref="C5" xr:uid="{B2AE9925-81B7-40CC-B70E-235127740B90}"/>
    <dataValidation allowBlank="1" showInputMessage="1" showErrorMessage="1" prompt="TBL_CUR[CH3]" sqref="D5" xr:uid="{90D15A2B-B572-4074-96C7-ED760ED9F7C6}"/>
    <dataValidation allowBlank="1" showInputMessage="1" showErrorMessage="1" prompt="TBL_CUR[CH4]" sqref="E5" xr:uid="{320F934A-6A22-4BCE-B85F-09D28794297F}"/>
    <dataValidation allowBlank="1" showInputMessage="1" showErrorMessage="1" prompt="TBL_CUR[CH5]" sqref="F5" xr:uid="{E1C495D5-EDC5-4A90-BF39-303D826075BF}"/>
    <dataValidation allowBlank="1" showInputMessage="1" showErrorMessage="1" prompt="TBL_CUR[CH6]" sqref="G5" xr:uid="{C6B628CA-D170-4D46-9722-C4D801EAC2CD}"/>
    <dataValidation allowBlank="1" showInputMessage="1" showErrorMessage="1" prompt="TBL_CUR[CH7]" sqref="H5" xr:uid="{84F37AA2-4A69-4A56-A458-C157AA42301B}"/>
    <dataValidation allowBlank="1" showInputMessage="1" showErrorMessage="1" prompt="TBL_CUR[CH8]" sqref="I5" xr:uid="{A9E037B2-AEE2-4696-BF58-02B53525E699}"/>
    <dataValidation allowBlank="1" showInputMessage="1" showErrorMessage="1" prompt="TBL_CUR[CH9]" sqref="J5" xr:uid="{5C0F8C41-C273-4700-9D3F-3ABA1CAEDA93}"/>
    <dataValidation allowBlank="1" showInputMessage="1" showErrorMessage="1" prompt="TBL_CUR[CH10]" sqref="K5" xr:uid="{258E63F0-6C02-46D7-AEC8-5DFB7CB6467A}"/>
    <dataValidation allowBlank="1" showInputMessage="1" showErrorMessage="1" prompt="TBL_HST[CH2]" sqref="C8:C13" xr:uid="{DAE009DA-271E-4561-A697-EA7927E7866D}"/>
    <dataValidation allowBlank="1" showInputMessage="1" showErrorMessage="1" prompt="TBL_HST[CH3]" sqref="D8:D13" xr:uid="{0F6E5B87-41C4-4338-A888-B2D8A88C83B4}"/>
    <dataValidation allowBlank="1" showInputMessage="1" showErrorMessage="1" prompt="TBL_HST[CH4]" sqref="E8:E13" xr:uid="{2EBD8C7C-20E6-47FB-A1BD-3B3915B56AB7}"/>
    <dataValidation allowBlank="1" showInputMessage="1" showErrorMessage="1" prompt="TBL_HST[CH5]" sqref="F8:F13" xr:uid="{F5CDE535-9D9C-45B3-8A9C-884DE60AD9F6}"/>
    <dataValidation allowBlank="1" showInputMessage="1" showErrorMessage="1" prompt="TBL_HST[CH6]" sqref="G8:G13" xr:uid="{2DA330F1-B6BB-4907-8230-2B95B9DE4FB8}"/>
    <dataValidation allowBlank="1" showInputMessage="1" showErrorMessage="1" prompt="TBL_HST[CH7]" sqref="H8:H13" xr:uid="{EABC1B68-7637-474A-9339-5CFB993850AB}"/>
    <dataValidation allowBlank="1" showInputMessage="1" showErrorMessage="1" prompt="TBL_HST[CH8]" sqref="I8:I13" xr:uid="{9DF5CD81-6EFC-4C2A-9ED8-173DD17CA972}"/>
    <dataValidation allowBlank="1" showInputMessage="1" showErrorMessage="1" prompt="TBL_HST[CH9]" sqref="J8:J13" xr:uid="{53D4AC91-CC58-473C-856E-E632514F3CBC}"/>
    <dataValidation allowBlank="1" showInputMessage="1" showErrorMessage="1" prompt="TBL_HST[CH10]" sqref="K8:K13" xr:uid="{A6D4AC78-EDDD-401A-9DB3-69C40B655176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CCF38-74E6-4797-A78C-C05D69F3410D}">
  <sheetPr codeName="Sheet7">
    <tabColor theme="9"/>
  </sheetPr>
  <dimension ref="A1:J5"/>
  <sheetViews>
    <sheetView workbookViewId="0">
      <selection activeCell="B10" sqref="B10"/>
    </sheetView>
  </sheetViews>
  <sheetFormatPr defaultRowHeight="14.4" x14ac:dyDescent="0.3"/>
  <cols>
    <col min="1" max="10" width="11.5546875" customWidth="1"/>
  </cols>
  <sheetData>
    <row r="1" spans="1:10" ht="29.4" x14ac:dyDescent="0.65">
      <c r="A1" s="77" t="s">
        <v>86</v>
      </c>
      <c r="B1" s="77"/>
      <c r="C1" s="77"/>
      <c r="D1" s="77"/>
      <c r="E1" s="77"/>
      <c r="F1" s="77"/>
      <c r="G1" s="77"/>
      <c r="H1" s="77"/>
    </row>
    <row r="2" spans="1:10" ht="16.8" x14ac:dyDescent="0.3">
      <c r="A2" s="78" t="s">
        <v>87</v>
      </c>
      <c r="B2" s="78"/>
      <c r="C2" s="78"/>
      <c r="D2" s="78"/>
      <c r="E2" s="78"/>
      <c r="F2" s="78"/>
      <c r="G2" s="78"/>
      <c r="H2" s="78"/>
    </row>
    <row r="3" spans="1:10" ht="17.55" customHeight="1" x14ac:dyDescent="0.3"/>
    <row r="4" spans="1:10" ht="19.5" customHeight="1" x14ac:dyDescent="0.3">
      <c r="A4" s="69" t="s">
        <v>11</v>
      </c>
      <c r="B4" s="70" t="s">
        <v>77</v>
      </c>
      <c r="C4" s="70" t="s">
        <v>78</v>
      </c>
      <c r="D4" s="70" t="s">
        <v>79</v>
      </c>
      <c r="E4" s="70" t="s">
        <v>80</v>
      </c>
      <c r="F4" s="70" t="s">
        <v>81</v>
      </c>
      <c r="G4" s="70" t="s">
        <v>82</v>
      </c>
      <c r="H4" s="70" t="s">
        <v>83</v>
      </c>
      <c r="I4" s="70" t="s">
        <v>84</v>
      </c>
      <c r="J4" s="70" t="s">
        <v>85</v>
      </c>
    </row>
    <row r="5" spans="1:10" ht="27" customHeight="1" x14ac:dyDescent="0.3">
      <c r="A5" s="29"/>
      <c r="B5" s="29"/>
      <c r="C5" s="29"/>
      <c r="D5" s="29"/>
      <c r="E5" s="29"/>
      <c r="F5" s="29"/>
      <c r="G5" s="29"/>
      <c r="H5" s="29"/>
      <c r="I5" s="29"/>
      <c r="J5" s="29"/>
    </row>
  </sheetData>
  <mergeCells count="2">
    <mergeCell ref="A1:H1"/>
    <mergeCell ref="A2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D920A-EDB5-4FDB-A962-C7CC4BC9EC45}">
  <sheetPr codeName="Sheet5">
    <tabColor theme="9"/>
  </sheetPr>
  <dimension ref="A1:E13"/>
  <sheetViews>
    <sheetView workbookViewId="0">
      <selection activeCell="F14" sqref="F14"/>
    </sheetView>
  </sheetViews>
  <sheetFormatPr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79" t="s">
        <v>13</v>
      </c>
      <c r="B1" s="79"/>
      <c r="C1" s="79"/>
      <c r="D1" s="79"/>
      <c r="E1" s="79"/>
    </row>
    <row r="2" spans="1:5" ht="49.95" customHeight="1" x14ac:dyDescent="0.3">
      <c r="A2" s="80" t="s">
        <v>14</v>
      </c>
      <c r="B2" s="80"/>
      <c r="C2" s="80"/>
      <c r="D2" s="80"/>
      <c r="E2" s="80"/>
    </row>
    <row r="3" spans="1:5" ht="4.5" customHeight="1" x14ac:dyDescent="0.3"/>
    <row r="4" spans="1:5" ht="24" customHeight="1" x14ac:dyDescent="0.3">
      <c r="A4" s="68" t="s">
        <v>15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68" t="s">
        <v>16</v>
      </c>
      <c r="B6" s="5">
        <v>15</v>
      </c>
      <c r="C6" s="6">
        <v>6</v>
      </c>
    </row>
    <row r="7" spans="1:5" ht="4.5" customHeight="1" x14ac:dyDescent="0.3"/>
    <row r="8" spans="1:5" ht="24" customHeight="1" x14ac:dyDescent="0.3">
      <c r="A8" s="68" t="s">
        <v>17</v>
      </c>
      <c r="B8" s="5">
        <v>10</v>
      </c>
      <c r="C8" s="6">
        <v>10</v>
      </c>
    </row>
    <row r="9" spans="1:5" ht="4.5" customHeight="1" x14ac:dyDescent="0.3"/>
    <row r="10" spans="1:5" ht="24" customHeight="1" x14ac:dyDescent="0.3">
      <c r="A10" s="68" t="s">
        <v>18</v>
      </c>
      <c r="B10" s="5" t="s">
        <v>19</v>
      </c>
      <c r="C10" s="6" t="s">
        <v>72</v>
      </c>
    </row>
    <row r="13" spans="1:5" ht="49.95" customHeight="1" x14ac:dyDescent="0.3">
      <c r="A13" s="81" t="s">
        <v>20</v>
      </c>
      <c r="B13" s="81"/>
      <c r="C13" s="81"/>
      <c r="D13" s="81"/>
      <c r="E13" s="8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EC862213-767E-4DCB-9600-00782C5FF239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C662D860-C645-46D7-A4F7-9C78FEC3D5F9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FF02BE99-4F45-4AA6-87C9-1A2F46B7E5CF}">
      <formula1>1</formula1>
      <formula2>1000</formula2>
    </dataValidation>
    <dataValidation type="list" errorStyle="information" allowBlank="1" showInputMessage="1" sqref="C10" xr:uid="{EB87C23A-35C1-4FFC-A3A8-C0EDF2196697}">
      <formula1>"Newest first,Newest last"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0144-0BC6-45DB-B8CF-792CE425B3FC}">
  <sheetPr codeName="Sheet6">
    <tabColor theme="9"/>
  </sheetPr>
  <dimension ref="A1:L16"/>
  <sheetViews>
    <sheetView workbookViewId="0">
      <selection activeCell="B10" sqref="B10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84" t="s">
        <v>4</v>
      </c>
      <c r="B1" s="84"/>
      <c r="C1" s="84"/>
      <c r="D1" s="84"/>
      <c r="E1" s="84"/>
      <c r="F1" s="84"/>
      <c r="G1" s="84"/>
      <c r="L1" s="65" t="s">
        <v>121</v>
      </c>
    </row>
    <row r="2" spans="1:12" ht="48" customHeight="1" x14ac:dyDescent="0.3">
      <c r="A2" s="85" t="s">
        <v>5</v>
      </c>
      <c r="B2" s="85"/>
      <c r="C2" s="85"/>
      <c r="D2" s="85"/>
      <c r="E2" s="85"/>
      <c r="F2" s="85"/>
      <c r="G2" s="85"/>
    </row>
    <row r="3" spans="1:12" ht="25.95" customHeight="1" x14ac:dyDescent="0.55000000000000004">
      <c r="B3" s="87" t="s">
        <v>0</v>
      </c>
      <c r="C3" s="87"/>
      <c r="D3" s="87"/>
      <c r="E3" s="87"/>
      <c r="F3" s="87"/>
      <c r="G3" s="87"/>
      <c r="H3" s="87"/>
    </row>
    <row r="4" spans="1:12" ht="25.95" customHeight="1" x14ac:dyDescent="0.4">
      <c r="B4" s="86"/>
      <c r="C4" s="86"/>
      <c r="D4" s="86"/>
      <c r="E4" s="86"/>
      <c r="F4" s="86"/>
      <c r="G4" s="86"/>
      <c r="I4" s="82" t="s">
        <v>1</v>
      </c>
      <c r="J4" s="82"/>
    </row>
    <row r="5" spans="1:12" ht="24" customHeight="1" x14ac:dyDescent="0.3">
      <c r="B5" s="86"/>
      <c r="C5" s="3" t="s">
        <v>6</v>
      </c>
      <c r="D5" s="3" t="s">
        <v>7</v>
      </c>
      <c r="E5" s="3" t="s">
        <v>8</v>
      </c>
      <c r="F5" s="3" t="s">
        <v>9</v>
      </c>
      <c r="G5" s="3" t="s">
        <v>10</v>
      </c>
      <c r="I5" s="83" t="s">
        <v>120</v>
      </c>
      <c r="J5" s="83"/>
      <c r="K5" s="65">
        <v>1</v>
      </c>
    </row>
    <row r="6" spans="1:12" ht="24" customHeight="1" x14ac:dyDescent="0.4">
      <c r="B6" s="86"/>
      <c r="C6" s="67" t="s">
        <v>11</v>
      </c>
      <c r="D6" s="46" t="s">
        <v>11</v>
      </c>
      <c r="E6" s="46"/>
      <c r="F6" s="46"/>
      <c r="G6" s="45" t="s">
        <v>12</v>
      </c>
      <c r="I6" s="82" t="s">
        <v>2</v>
      </c>
      <c r="J6" s="82"/>
    </row>
    <row r="7" spans="1:12" ht="24" customHeight="1" x14ac:dyDescent="0.3">
      <c r="B7" s="86"/>
      <c r="C7" s="48" t="s">
        <v>77</v>
      </c>
      <c r="D7" s="49" t="s">
        <v>77</v>
      </c>
      <c r="E7" s="49"/>
      <c r="F7" s="49"/>
      <c r="G7" s="47" t="s">
        <v>12</v>
      </c>
      <c r="I7" s="66">
        <v>150</v>
      </c>
    </row>
    <row r="8" spans="1:12" ht="24" customHeight="1" x14ac:dyDescent="0.4">
      <c r="B8" s="86"/>
      <c r="C8" s="48" t="s">
        <v>78</v>
      </c>
      <c r="D8" s="49" t="s">
        <v>78</v>
      </c>
      <c r="E8" s="49"/>
      <c r="F8" s="49"/>
      <c r="G8" s="47" t="s">
        <v>12</v>
      </c>
      <c r="I8" s="82" t="s">
        <v>3</v>
      </c>
      <c r="J8" s="82"/>
    </row>
    <row r="9" spans="1:12" ht="24" customHeight="1" x14ac:dyDescent="0.3">
      <c r="B9" s="86"/>
      <c r="C9" s="48" t="s">
        <v>79</v>
      </c>
      <c r="D9" s="49" t="s">
        <v>79</v>
      </c>
      <c r="E9" s="49"/>
      <c r="F9" s="49"/>
      <c r="G9" s="47" t="s">
        <v>12</v>
      </c>
      <c r="I9" s="66">
        <v>9600</v>
      </c>
    </row>
    <row r="10" spans="1:12" ht="24" customHeight="1" x14ac:dyDescent="0.3">
      <c r="B10" s="86"/>
      <c r="C10" s="48" t="s">
        <v>80</v>
      </c>
      <c r="D10" s="49" t="s">
        <v>80</v>
      </c>
      <c r="E10" s="49"/>
      <c r="F10" s="49"/>
      <c r="G10" s="47" t="s">
        <v>12</v>
      </c>
    </row>
    <row r="11" spans="1:12" ht="24" customHeight="1" x14ac:dyDescent="0.3">
      <c r="B11" s="86"/>
      <c r="C11" s="48" t="s">
        <v>81</v>
      </c>
      <c r="D11" s="49" t="s">
        <v>81</v>
      </c>
      <c r="E11" s="49"/>
      <c r="F11" s="49"/>
      <c r="G11" s="47" t="s">
        <v>12</v>
      </c>
    </row>
    <row r="12" spans="1:12" ht="24" customHeight="1" x14ac:dyDescent="0.3">
      <c r="B12" s="86"/>
      <c r="C12" s="48" t="s">
        <v>82</v>
      </c>
      <c r="D12" s="49" t="s">
        <v>82</v>
      </c>
      <c r="E12" s="49"/>
      <c r="F12" s="49"/>
      <c r="G12" s="47" t="s">
        <v>12</v>
      </c>
    </row>
    <row r="13" spans="1:12" ht="24" customHeight="1" x14ac:dyDescent="0.3">
      <c r="B13" s="86"/>
      <c r="C13" s="48" t="s">
        <v>83</v>
      </c>
      <c r="D13" s="49" t="s">
        <v>83</v>
      </c>
      <c r="E13" s="49"/>
      <c r="F13" s="49"/>
      <c r="G13" s="47" t="s">
        <v>12</v>
      </c>
    </row>
    <row r="14" spans="1:12" ht="24" customHeight="1" x14ac:dyDescent="0.3">
      <c r="B14" s="86"/>
      <c r="C14" s="48" t="s">
        <v>84</v>
      </c>
      <c r="D14" s="49" t="s">
        <v>84</v>
      </c>
      <c r="E14" s="49"/>
      <c r="F14" s="49"/>
      <c r="G14" s="47" t="s">
        <v>12</v>
      </c>
    </row>
    <row r="15" spans="1:12" ht="24" customHeight="1" thickBot="1" x14ac:dyDescent="0.35">
      <c r="B15" s="88"/>
      <c r="C15" s="50" t="s">
        <v>85</v>
      </c>
      <c r="D15" s="51" t="s">
        <v>85</v>
      </c>
      <c r="E15" s="51"/>
      <c r="F15" s="51"/>
      <c r="G15" s="52" t="s">
        <v>12</v>
      </c>
    </row>
    <row r="16" spans="1:12" ht="24" customHeight="1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3:H3"/>
    <mergeCell ref="B5:B15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DASHBOARD</vt:lpstr>
      <vt:lpstr>Sounds</vt:lpstr>
      <vt:lpstr>Setup</vt:lpstr>
      <vt:lpstr>Results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Evan Corbin</dc:creator>
  <cp:lastModifiedBy>Evan Corbin</cp:lastModifiedBy>
  <dcterms:created xsi:type="dcterms:W3CDTF">2025-11-23T04:02:25Z</dcterms:created>
  <dcterms:modified xsi:type="dcterms:W3CDTF">2026-01-05T03:30:40Z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940d5427-2309-4dbb-9abb-682052e8d3a0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